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" sheetId="1" r:id="rId5"/>
    <sheet state="visible" name="Cohort" sheetId="2" r:id="rId6"/>
    <sheet state="visible" name="3 Cohorts" sheetId="3" r:id="rId7"/>
    <sheet state="visible" name="Year summaries" sheetId="4" r:id="rId8"/>
  </sheets>
  <definedNames/>
  <calcPr/>
</workbook>
</file>

<file path=xl/sharedStrings.xml><?xml version="1.0" encoding="utf-8"?>
<sst xmlns="http://schemas.openxmlformats.org/spreadsheetml/2006/main" count="117" uniqueCount="39">
  <si>
    <t>Decile</t>
  </si>
  <si>
    <t># Customers</t>
  </si>
  <si>
    <t>Total Transactions</t>
  </si>
  <si>
    <t>Revenue</t>
  </si>
  <si>
    <t>Profit</t>
  </si>
  <si>
    <t>TOTAL</t>
  </si>
  <si>
    <t>Percentages</t>
  </si>
  <si>
    <t>Averages</t>
  </si>
  <si>
    <t>Average revenue per transaction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</si>
  <si>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</si>
  <si>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</si>
  <si>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</si>
  <si>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</si>
  <si>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</si>
  <si>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Quarter</t>
  </si>
  <si>
    <t>Percentage of active customers</t>
  </si>
  <si>
    <t>Average Sales per Active Customer</t>
  </si>
  <si>
    <t>Average order frequency</t>
  </si>
  <si>
    <t>Average order value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</si>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</sst>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-409]#,##0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1.0"/>
      <color rgb="FFC00000"/>
      <name val="Calibri"/>
    </font>
    <font>
      <sz val="11.0"/>
      <color rgb="FFC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/>
      <top/>
      <bottom style="double">
        <color rgb="FF000000"/>
      </bottom>
    </border>
    <border>
      <left/>
      <top/>
      <bottom style="double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bottom" wrapText="1"/>
    </xf>
    <xf borderId="0" fillId="3" fontId="1" numFmtId="10" xfId="0" applyAlignment="1" applyFill="1" applyFont="1" applyNumberFormat="1">
      <alignment horizontal="right" shrinkToFit="0" vertical="bottom" wrapText="1"/>
    </xf>
    <xf borderId="0" fillId="3" fontId="1" numFmtId="0" xfId="0" applyAlignment="1" applyFont="1">
      <alignment horizontal="right" shrinkToFit="0" vertical="bottom" wrapText="1"/>
    </xf>
    <xf borderId="0" fillId="3" fontId="2" numFmtId="0" xfId="0" applyAlignment="1" applyFont="1">
      <alignment shrinkToFit="0" vertical="bottom" wrapText="1"/>
    </xf>
    <xf borderId="1" fillId="2" fontId="1" numFmtId="0" xfId="0" applyAlignment="1" applyBorder="1" applyFont="1">
      <alignment horizontal="right" vertical="bottom"/>
    </xf>
    <xf borderId="1" fillId="2" fontId="1" numFmtId="3" xfId="0" applyAlignment="1" applyBorder="1" applyFont="1" applyNumberFormat="1">
      <alignment horizontal="right" vertical="bottom"/>
    </xf>
    <xf borderId="0" fillId="3" fontId="2" numFmtId="9" xfId="0" applyAlignment="1" applyFont="1" applyNumberFormat="1">
      <alignment horizontal="right" vertical="bottom"/>
    </xf>
    <xf borderId="0" fillId="3" fontId="2" numFmtId="10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1" fillId="2" fontId="1" numFmtId="0" xfId="0" applyAlignment="1" applyBorder="1" applyFont="1">
      <alignment vertical="bottom"/>
    </xf>
    <xf borderId="0" fillId="3" fontId="2" numFmtId="4" xfId="0" applyAlignment="1" applyFont="1" applyNumberFormat="1">
      <alignment vertical="bottom"/>
    </xf>
    <xf borderId="0" fillId="0" fontId="3" numFmtId="0" xfId="0" applyAlignment="1" applyFont="1">
      <alignment readingOrder="0"/>
    </xf>
    <xf borderId="1" fillId="3" fontId="1" numFmtId="10" xfId="0" applyAlignment="1" applyBorder="1" applyFont="1" applyNumberFormat="1">
      <alignment horizontal="right" shrinkToFit="0" vertical="bottom" wrapText="1"/>
    </xf>
    <xf borderId="1" fillId="3" fontId="1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vertical="bottom" wrapText="1"/>
    </xf>
    <xf borderId="1" fillId="3" fontId="2" numFmtId="9" xfId="0" applyAlignment="1" applyBorder="1" applyFont="1" applyNumberFormat="1">
      <alignment horizontal="right" vertical="bottom"/>
    </xf>
    <xf borderId="1" fillId="3" fontId="2" numFmtId="10" xfId="0" applyAlignment="1" applyBorder="1" applyFont="1" applyNumberFormat="1">
      <alignment horizontal="right" vertical="bottom"/>
    </xf>
    <xf borderId="1" fillId="0" fontId="3" numFmtId="2" xfId="0" applyBorder="1" applyFont="1" applyNumberFormat="1"/>
    <xf borderId="1" fillId="3" fontId="2" numFmtId="4" xfId="0" applyAlignment="1" applyBorder="1" applyFont="1" applyNumberFormat="1">
      <alignment horizontal="right" vertical="bottom"/>
    </xf>
    <xf borderId="1" fillId="3" fontId="2" numFmtId="164" xfId="0" applyAlignment="1" applyBorder="1" applyFont="1" applyNumberFormat="1">
      <alignment horizontal="right" vertical="bottom"/>
    </xf>
    <xf borderId="1" fillId="3" fontId="2" numFmtId="165" xfId="0" applyAlignment="1" applyBorder="1" applyFont="1" applyNumberFormat="1">
      <alignment horizontal="right" vertical="bottom"/>
    </xf>
    <xf borderId="2" fillId="4" fontId="1" numFmtId="0" xfId="0" applyAlignment="1" applyBorder="1" applyFill="1" applyFont="1">
      <alignment horizontal="right" shrinkToFit="0" vertical="bottom" wrapText="1"/>
    </xf>
    <xf borderId="3" fillId="4" fontId="1" numFmtId="0" xfId="0" applyAlignment="1" applyBorder="1" applyFont="1">
      <alignment horizontal="right" shrinkToFit="0" vertical="bottom" wrapText="1"/>
    </xf>
    <xf borderId="1" fillId="5" fontId="3" numFmtId="0" xfId="0" applyAlignment="1" applyBorder="1" applyFill="1" applyFont="1">
      <alignment readingOrder="0" shrinkToFit="0" wrapText="1"/>
    </xf>
    <xf borderId="4" fillId="4" fontId="1" numFmtId="0" xfId="0" applyAlignment="1" applyBorder="1" applyFont="1">
      <alignment horizontal="right" vertical="bottom"/>
    </xf>
    <xf borderId="4" fillId="4" fontId="1" numFmtId="3" xfId="0" applyAlignment="1" applyBorder="1" applyFont="1" applyNumberFormat="1">
      <alignment horizontal="right" vertical="bottom"/>
    </xf>
    <xf borderId="5" fillId="4" fontId="1" numFmtId="3" xfId="0" applyAlignment="1" applyBorder="1" applyFont="1" applyNumberFormat="1">
      <alignment horizontal="right" vertical="bottom"/>
    </xf>
    <xf borderId="1" fillId="5" fontId="2" numFmtId="10" xfId="0" applyAlignment="1" applyBorder="1" applyFont="1" applyNumberFormat="1">
      <alignment horizontal="right" shrinkToFit="0" vertical="bottom" wrapText="0"/>
    </xf>
    <xf borderId="1" fillId="5" fontId="3" numFmtId="1" xfId="0" applyBorder="1" applyFont="1" applyNumberFormat="1"/>
    <xf borderId="1" fillId="5" fontId="3" numFmtId="164" xfId="0" applyBorder="1" applyFont="1" applyNumberFormat="1"/>
    <xf borderId="2" fillId="4" fontId="1" numFmtId="0" xfId="0" applyAlignment="1" applyBorder="1" applyFont="1">
      <alignment horizontal="right" vertical="bottom"/>
    </xf>
    <xf borderId="2" fillId="4" fontId="1" numFmtId="3" xfId="0" applyAlignment="1" applyBorder="1" applyFont="1" applyNumberFormat="1">
      <alignment horizontal="right" vertical="bottom"/>
    </xf>
    <xf borderId="3" fillId="4" fontId="1" numFmtId="3" xfId="0" applyAlignment="1" applyBorder="1" applyFont="1" applyNumberFormat="1">
      <alignment horizontal="right" vertical="bottom"/>
    </xf>
    <xf borderId="1" fillId="5" fontId="2" numFmtId="10" xfId="0" applyAlignment="1" applyBorder="1" applyFont="1" applyNumberFormat="1">
      <alignment horizontal="right" vertical="bottom"/>
    </xf>
    <xf borderId="6" fillId="4" fontId="1" numFmtId="0" xfId="0" applyAlignment="1" applyBorder="1" applyFont="1">
      <alignment horizontal="right" vertical="bottom"/>
    </xf>
    <xf borderId="6" fillId="4" fontId="1" numFmtId="3" xfId="0" applyAlignment="1" applyBorder="1" applyFont="1" applyNumberFormat="1">
      <alignment horizontal="right" vertical="bottom"/>
    </xf>
    <xf borderId="7" fillId="4" fontId="1" numFmtId="3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2" fillId="4" fontId="1" numFmtId="4" xfId="0" applyAlignment="1" applyBorder="1" applyFont="1" applyNumberFormat="1">
      <alignment horizontal="right" shrinkToFit="0" vertical="bottom" wrapText="1"/>
    </xf>
    <xf borderId="3" fillId="4" fontId="1" numFmtId="4" xfId="0" applyAlignment="1" applyBorder="1" applyFont="1" applyNumberFormat="1">
      <alignment horizontal="right" vertical="bottom"/>
    </xf>
    <xf borderId="1" fillId="5" fontId="1" numFmtId="9" xfId="0" applyAlignment="1" applyBorder="1" applyFont="1" applyNumberFormat="1">
      <alignment horizontal="right" vertical="bottom"/>
    </xf>
    <xf borderId="1" fillId="5" fontId="1" numFmtId="1" xfId="0" applyAlignment="1" applyBorder="1" applyFont="1" applyNumberFormat="1">
      <alignment horizontal="right" vertical="bottom"/>
    </xf>
    <xf borderId="1" fillId="5" fontId="1" numFmtId="164" xfId="0" applyAlignment="1" applyBorder="1" applyFont="1" applyNumberFormat="1">
      <alignment horizontal="right" vertical="bottom"/>
    </xf>
    <xf borderId="7" fillId="4" fontId="1" numFmtId="4" xfId="0" applyAlignment="1" applyBorder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3" fontId="3" numFmtId="1" xfId="0" applyFont="1" applyNumberFormat="1"/>
    <xf borderId="0" fillId="3" fontId="3" numFmtId="164" xfId="0" applyFont="1" applyNumberFormat="1"/>
    <xf borderId="2" fillId="4" fontId="2" numFmtId="0" xfId="0" applyAlignment="1" applyBorder="1" applyFont="1">
      <alignment vertical="bottom"/>
    </xf>
    <xf borderId="2" fillId="4" fontId="2" numFmtId="3" xfId="0" applyAlignment="1" applyBorder="1" applyFont="1" applyNumberFormat="1">
      <alignment vertical="bottom"/>
    </xf>
    <xf borderId="2" fillId="4" fontId="5" numFmtId="0" xfId="0" applyAlignment="1" applyBorder="1" applyFont="1">
      <alignment vertical="bottom"/>
    </xf>
    <xf borderId="8" fillId="4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Transactions per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Cohort!$A$2:$A$17</c:f>
            </c:strRef>
          </c:cat>
          <c:val>
            <c:numRef>
              <c:f>Cohort!$C$2:$C$17</c:f>
              <c:numCache/>
            </c:numRef>
          </c:val>
        </c:ser>
        <c:axId val="1104417118"/>
        <c:axId val="2124592441"/>
      </c:barChart>
      <c:catAx>
        <c:axId val="1104417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592441"/>
      </c:catAx>
      <c:valAx>
        <c:axId val="2124592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417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Cohort!$A$2:$A$17</c:f>
            </c:strRef>
          </c:cat>
          <c:val>
            <c:numRef>
              <c:f>Cohort!$D$2:$D$17</c:f>
              <c:numCache/>
            </c:numRef>
          </c:val>
        </c:ser>
        <c:axId val="435182070"/>
        <c:axId val="525658751"/>
      </c:barChart>
      <c:catAx>
        <c:axId val="43518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658751"/>
      </c:catAx>
      <c:valAx>
        <c:axId val="525658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182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per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Cohort!$A$2:$A$17</c:f>
            </c:strRef>
          </c:cat>
          <c:val>
            <c:numRef>
              <c:f>Cohort!$E$2:$E$17</c:f>
              <c:numCache/>
            </c:numRef>
          </c:val>
        </c:ser>
        <c:axId val="1867081546"/>
        <c:axId val="530741593"/>
      </c:barChart>
      <c:catAx>
        <c:axId val="1867081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741593"/>
      </c:catAx>
      <c:valAx>
        <c:axId val="530741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081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Cohort!$A$2:$A$17</c:f>
            </c:strRef>
          </c:cat>
          <c:val>
            <c:numRef>
              <c:f>Cohort!$G$2:$G$17</c:f>
              <c:numCache/>
            </c:numRef>
          </c:val>
          <c:smooth val="0"/>
        </c:ser>
        <c:axId val="1376407317"/>
        <c:axId val="370356413"/>
      </c:lineChart>
      <c:catAx>
        <c:axId val="1376407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0356413"/>
      </c:catAx>
      <c:valAx>
        <c:axId val="370356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407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comparing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Cohorts'!$A$2:$A$16</c:f>
            </c:strRef>
          </c:cat>
          <c:val>
            <c:numRef>
              <c:f>'3 Cohorts'!$H$2:$H$16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Cohorts'!$A$2:$A$16</c:f>
            </c:strRef>
          </c:cat>
          <c:val>
            <c:numRef>
              <c:f>'3 Cohorts'!$H$22:$H$34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Cohorts'!$A$2:$A$16</c:f>
            </c:strRef>
          </c:cat>
          <c:val>
            <c:numRef>
              <c:f>'3 Cohorts'!$H$44:$H$52</c:f>
              <c:numCache/>
            </c:numRef>
          </c:val>
          <c:smooth val="0"/>
        </c:ser>
        <c:axId val="490914426"/>
        <c:axId val="605389074"/>
      </c:lineChart>
      <c:catAx>
        <c:axId val="490914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389074"/>
      </c:catAx>
      <c:valAx>
        <c:axId val="605389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914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compare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Cohorts'!$A$3:$A$16</c:f>
            </c:strRef>
          </c:cat>
          <c:val>
            <c:numRef>
              <c:f>'3 Cohorts'!$I$3:$I$16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Cohorts'!$A$3:$A$16</c:f>
            </c:strRef>
          </c:cat>
          <c:val>
            <c:numRef>
              <c:f>'3 Cohorts'!$I$22:$I$34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Cohorts'!$A$3:$A$16</c:f>
            </c:strRef>
          </c:cat>
          <c:val>
            <c:numRef>
              <c:f>'3 Cohorts'!$I$44:$I$52</c:f>
              <c:numCache/>
            </c:numRef>
          </c:val>
          <c:smooth val="0"/>
        </c:ser>
        <c:axId val="476564915"/>
        <c:axId val="1248402974"/>
      </c:lineChart>
      <c:catAx>
        <c:axId val="476564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402974"/>
      </c:catAx>
      <c:valAx>
        <c:axId val="1248402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564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summaries'!$A$3:$A$7</c:f>
            </c:strRef>
          </c:cat>
          <c:val>
            <c:numRef>
              <c:f>'Year summaries'!$B$26:$B$31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summaries'!$A$3:$A$7</c:f>
            </c:strRef>
          </c:cat>
          <c:val>
            <c:numRef>
              <c:f>'Year summaries'!$C$26:$C$31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summaries'!$A$3:$A$7</c:f>
            </c:strRef>
          </c:cat>
          <c:val>
            <c:numRef>
              <c:f>'Year summaries'!$D$26:$D$31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summaries'!$A$3:$A$7</c:f>
            </c:strRef>
          </c:cat>
          <c:val>
            <c:numRef>
              <c:f>'Year summaries'!$E$26:$E$31</c:f>
              <c:numCache/>
            </c:numRef>
          </c:val>
        </c:ser>
        <c:overlap val="100"/>
        <c:axId val="753902619"/>
        <c:axId val="1221376742"/>
      </c:barChart>
      <c:catAx>
        <c:axId val="7539026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376742"/>
      </c:catAx>
      <c:valAx>
        <c:axId val="12213767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9026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summaries'!$A$11:$A$15</c:f>
            </c:strRef>
          </c:cat>
          <c:val>
            <c:numRef>
              <c:f>'Year summaries'!$B$10:$B$15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summaries'!$A$11:$A$15</c:f>
            </c:strRef>
          </c:cat>
          <c:val>
            <c:numRef>
              <c:f>'Year summaries'!$C$10:$C$15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summaries'!$A$11:$A$15</c:f>
            </c:strRef>
          </c:cat>
          <c:val>
            <c:numRef>
              <c:f>'Year summaries'!$D$10:$D$15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summaries'!$A$11:$A$15</c:f>
            </c:strRef>
          </c:cat>
          <c:val>
            <c:numRef>
              <c:f>'Year summaries'!$E$10:$E$15</c:f>
              <c:numCache/>
            </c:numRef>
          </c:val>
        </c:ser>
        <c:overlap val="100"/>
        <c:axId val="1647467454"/>
        <c:axId val="889674650"/>
      </c:barChart>
      <c:catAx>
        <c:axId val="16474674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674650"/>
      </c:catAx>
      <c:valAx>
        <c:axId val="8896746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4674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summaries'!$A$19:$A$23</c:f>
            </c:strRef>
          </c:cat>
          <c:val>
            <c:numRef>
              <c:f>'Year summaries'!$B$18:$B$23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summaries'!$A$19:$A$23</c:f>
            </c:strRef>
          </c:cat>
          <c:val>
            <c:numRef>
              <c:f>'Year summaries'!$C$18:$C$23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summaries'!$A$19:$A$23</c:f>
            </c:strRef>
          </c:cat>
          <c:val>
            <c:numRef>
              <c:f>'Year summaries'!$D$18:$D$23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summaries'!$A$19:$A$23</c:f>
            </c:strRef>
          </c:cat>
          <c:val>
            <c:numRef>
              <c:f>'Year summaries'!$E$18:$E$23</c:f>
              <c:numCache/>
            </c:numRef>
          </c:val>
        </c:ser>
        <c:overlap val="100"/>
        <c:axId val="1355904092"/>
        <c:axId val="1973855079"/>
      </c:barChart>
      <c:catAx>
        <c:axId val="13559040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855079"/>
      </c:catAx>
      <c:valAx>
        <c:axId val="1973855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9040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180975</xdr:colOff>
      <xdr:row>0</xdr:row>
      <xdr:rowOff>485775</xdr:rowOff>
    </xdr:from>
    <xdr:ext cx="5715000" cy="3533775"/>
    <xdr:pic>
      <xdr:nvPicPr>
        <xdr:cNvPr id="20033237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952500</xdr:colOff>
      <xdr:row>17</xdr:row>
      <xdr:rowOff>200025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942975</xdr:colOff>
      <xdr:row>17</xdr:row>
      <xdr:rowOff>200025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180975</xdr:colOff>
      <xdr:row>1</xdr:row>
      <xdr:rowOff>28575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552450</xdr:colOff>
      <xdr:row>2</xdr:row>
      <xdr:rowOff>38100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476250</xdr:colOff>
      <xdr:row>19</xdr:row>
      <xdr:rowOff>28575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17</xdr:row>
      <xdr:rowOff>104775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0</xdr:row>
      <xdr:rowOff>171450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257175</xdr:colOff>
      <xdr:row>0</xdr:row>
      <xdr:rowOff>171450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4"/>
      <c r="K1" s="4"/>
      <c r="L1" s="4"/>
      <c r="M1" s="4"/>
      <c r="N1" s="4"/>
    </row>
    <row r="2">
      <c r="A2" s="5">
        <v>1.0</v>
      </c>
      <c r="B2" s="6">
        <v>3180.0</v>
      </c>
      <c r="C2" s="6">
        <v>17503.0</v>
      </c>
      <c r="D2" s="6">
        <v>1.28952505E8</v>
      </c>
      <c r="E2" s="6">
        <v>6.2160175E7</v>
      </c>
      <c r="F2" s="7"/>
      <c r="G2" s="8"/>
      <c r="H2" s="8"/>
      <c r="I2" s="8"/>
      <c r="J2" s="9"/>
      <c r="K2" s="9"/>
      <c r="L2" s="10"/>
      <c r="M2" s="11"/>
      <c r="N2" s="7"/>
    </row>
    <row r="3">
      <c r="A3" s="5">
        <v>2.0</v>
      </c>
      <c r="B3" s="6">
        <v>3180.0</v>
      </c>
      <c r="C3" s="6">
        <v>8703.0</v>
      </c>
      <c r="D3" s="6">
        <v>5.5542905E7</v>
      </c>
      <c r="E3" s="6">
        <v>2.707903E7</v>
      </c>
      <c r="F3" s="7"/>
      <c r="G3" s="8"/>
      <c r="H3" s="8"/>
      <c r="I3" s="8"/>
      <c r="J3" s="9"/>
      <c r="K3" s="9"/>
      <c r="L3" s="10"/>
      <c r="M3" s="11"/>
      <c r="N3" s="7"/>
    </row>
    <row r="4">
      <c r="A4" s="5">
        <v>3.0</v>
      </c>
      <c r="B4" s="6">
        <v>3177.0</v>
      </c>
      <c r="C4" s="6">
        <v>6345.0</v>
      </c>
      <c r="D4" s="6">
        <v>3.8274225E7</v>
      </c>
      <c r="E4" s="6">
        <v>1.8722055E7</v>
      </c>
      <c r="F4" s="7"/>
      <c r="G4" s="8"/>
      <c r="H4" s="8"/>
      <c r="I4" s="8"/>
      <c r="J4" s="9"/>
      <c r="K4" s="9"/>
      <c r="L4" s="10"/>
      <c r="M4" s="11"/>
      <c r="N4" s="7"/>
    </row>
    <row r="5">
      <c r="A5" s="5">
        <v>4.0</v>
      </c>
      <c r="B5" s="6">
        <v>3178.0</v>
      </c>
      <c r="C5" s="6">
        <v>5349.0</v>
      </c>
      <c r="D5" s="6">
        <v>2.901701E7</v>
      </c>
      <c r="E5" s="6">
        <v>1.3916595E7</v>
      </c>
      <c r="F5" s="7"/>
      <c r="G5" s="8"/>
      <c r="H5" s="8"/>
      <c r="I5" s="8"/>
      <c r="J5" s="9"/>
      <c r="K5" s="9"/>
      <c r="L5" s="10"/>
      <c r="M5" s="11"/>
      <c r="N5" s="7"/>
    </row>
    <row r="6">
      <c r="A6" s="5">
        <v>5.0</v>
      </c>
      <c r="B6" s="6">
        <v>3183.0</v>
      </c>
      <c r="C6" s="6">
        <v>4683.0</v>
      </c>
      <c r="D6" s="6">
        <v>2.2555225E7</v>
      </c>
      <c r="E6" s="6">
        <v>1.0734405E7</v>
      </c>
      <c r="F6" s="7"/>
      <c r="G6" s="8"/>
      <c r="H6" s="8"/>
      <c r="I6" s="8"/>
      <c r="J6" s="9"/>
      <c r="K6" s="9"/>
      <c r="L6" s="10"/>
      <c r="M6" s="11"/>
      <c r="N6" s="7"/>
    </row>
    <row r="7">
      <c r="A7" s="5">
        <v>6.0</v>
      </c>
      <c r="B7" s="6">
        <v>3124.0</v>
      </c>
      <c r="C7" s="6">
        <v>4330.0</v>
      </c>
      <c r="D7" s="6">
        <v>1.7169955E7</v>
      </c>
      <c r="E7" s="6">
        <v>7948270.0</v>
      </c>
      <c r="F7" s="7"/>
      <c r="G7" s="8"/>
      <c r="H7" s="8"/>
      <c r="I7" s="8"/>
      <c r="J7" s="9"/>
      <c r="K7" s="9"/>
      <c r="L7" s="10"/>
      <c r="M7" s="11"/>
      <c r="N7" s="7"/>
    </row>
    <row r="8">
      <c r="A8" s="5">
        <v>7.0</v>
      </c>
      <c r="B8" s="6">
        <v>3233.0</v>
      </c>
      <c r="C8" s="6">
        <v>4004.0</v>
      </c>
      <c r="D8" s="6">
        <v>1.347071E7</v>
      </c>
      <c r="E8" s="6">
        <v>6240025.0</v>
      </c>
      <c r="F8" s="7"/>
      <c r="G8" s="8"/>
      <c r="H8" s="8"/>
      <c r="I8" s="8"/>
      <c r="J8" s="9"/>
      <c r="K8" s="9"/>
      <c r="L8" s="10"/>
      <c r="M8" s="11"/>
      <c r="N8" s="7"/>
    </row>
    <row r="9">
      <c r="A9" s="5">
        <v>8.0</v>
      </c>
      <c r="B9" s="6">
        <v>2996.0</v>
      </c>
      <c r="C9" s="6">
        <v>3414.0</v>
      </c>
      <c r="D9" s="6">
        <v>9381075.0</v>
      </c>
      <c r="E9" s="6">
        <v>4326685.0</v>
      </c>
      <c r="F9" s="7"/>
      <c r="G9" s="8"/>
      <c r="H9" s="8"/>
      <c r="I9" s="8"/>
      <c r="J9" s="9"/>
      <c r="K9" s="9"/>
      <c r="L9" s="10"/>
      <c r="M9" s="11"/>
      <c r="N9" s="7"/>
    </row>
    <row r="10">
      <c r="A10" s="5">
        <v>9.0</v>
      </c>
      <c r="B10" s="6">
        <v>3360.0</v>
      </c>
      <c r="C10" s="6">
        <v>3659.0</v>
      </c>
      <c r="D10" s="6">
        <v>7496500.0</v>
      </c>
      <c r="E10" s="6">
        <v>3334100.0</v>
      </c>
      <c r="F10" s="7"/>
      <c r="G10" s="8"/>
      <c r="H10" s="8"/>
      <c r="I10" s="8"/>
      <c r="J10" s="9"/>
      <c r="K10" s="9"/>
      <c r="L10" s="10"/>
      <c r="M10" s="11"/>
      <c r="N10" s="7"/>
    </row>
    <row r="11">
      <c r="A11" s="5">
        <v>10.0</v>
      </c>
      <c r="B11" s="6">
        <v>3186.0</v>
      </c>
      <c r="C11" s="6">
        <v>3270.0</v>
      </c>
      <c r="D11" s="6">
        <v>3740550.0</v>
      </c>
      <c r="E11" s="6">
        <v>1554795.0</v>
      </c>
      <c r="F11" s="7"/>
      <c r="G11" s="8"/>
      <c r="H11" s="8"/>
      <c r="I11" s="8"/>
      <c r="J11" s="9"/>
      <c r="K11" s="9"/>
      <c r="L11" s="10"/>
      <c r="M11" s="11"/>
      <c r="N11" s="7"/>
    </row>
    <row r="12">
      <c r="A12" s="12" t="s">
        <v>5</v>
      </c>
      <c r="B12" s="6">
        <f t="shared" ref="B12:E12" si="1">SUM(B2:B11)</f>
        <v>31797</v>
      </c>
      <c r="C12" s="6">
        <f t="shared" si="1"/>
        <v>61260</v>
      </c>
      <c r="D12" s="6">
        <f t="shared" si="1"/>
        <v>325600660</v>
      </c>
      <c r="E12" s="6">
        <f t="shared" si="1"/>
        <v>156016135</v>
      </c>
      <c r="F12" s="7"/>
      <c r="G12" s="8"/>
      <c r="H12" s="8"/>
      <c r="I12" s="8"/>
      <c r="J12" s="13"/>
      <c r="K12" s="9"/>
      <c r="L12" s="10"/>
      <c r="M12" s="11"/>
      <c r="N12" s="7"/>
    </row>
    <row r="15">
      <c r="A15" s="14" t="s">
        <v>6</v>
      </c>
      <c r="G15" s="14" t="s">
        <v>7</v>
      </c>
    </row>
    <row r="16">
      <c r="A16" s="15" t="s">
        <v>1</v>
      </c>
      <c r="B16" s="16" t="s">
        <v>2</v>
      </c>
      <c r="C16" s="16" t="s">
        <v>3</v>
      </c>
      <c r="D16" s="16" t="s">
        <v>4</v>
      </c>
      <c r="F16" s="17" t="s">
        <v>8</v>
      </c>
      <c r="G16" s="18" t="s">
        <v>9</v>
      </c>
      <c r="H16" s="18" t="s">
        <v>10</v>
      </c>
      <c r="I16" s="18" t="s">
        <v>11</v>
      </c>
      <c r="J16" s="18" t="s">
        <v>12</v>
      </c>
      <c r="K16" s="18" t="s">
        <v>13</v>
      </c>
    </row>
    <row r="17">
      <c r="A17" s="19">
        <f t="shared" ref="A17:D17" si="2">B2/B$12</f>
        <v>0.1000094349</v>
      </c>
      <c r="B17" s="20">
        <f t="shared" si="2"/>
        <v>0.2857166177</v>
      </c>
      <c r="C17" s="20">
        <f t="shared" si="2"/>
        <v>0.3960449742</v>
      </c>
      <c r="D17" s="20">
        <f t="shared" si="2"/>
        <v>0.3984214517</v>
      </c>
      <c r="F17" s="21">
        <f t="shared" ref="F17:F27" si="4">D2/C2</f>
        <v>7367.45158</v>
      </c>
      <c r="G17" s="22">
        <f t="shared" ref="G17:G27" si="5">D2/B2</f>
        <v>40551.1022</v>
      </c>
      <c r="H17" s="22">
        <f>E2/B2</f>
        <v>19547.22484</v>
      </c>
      <c r="I17" s="23">
        <f t="shared" ref="I17:I18" si="6">C2/B2</f>
        <v>5.50408805</v>
      </c>
      <c r="J17" s="24">
        <v>7367.45157972919</v>
      </c>
      <c r="K17" s="19">
        <v>0.48203929811212276</v>
      </c>
    </row>
    <row r="18">
      <c r="A18" s="19">
        <f t="shared" ref="A18:D18" si="3">B3/B$12</f>
        <v>0.1000094349</v>
      </c>
      <c r="B18" s="20">
        <f t="shared" si="3"/>
        <v>0.1420666014</v>
      </c>
      <c r="C18" s="20">
        <f t="shared" si="3"/>
        <v>0.1705859718</v>
      </c>
      <c r="D18" s="20">
        <f t="shared" si="3"/>
        <v>0.1735655738</v>
      </c>
      <c r="F18" s="21">
        <f t="shared" si="4"/>
        <v>6382.04125</v>
      </c>
      <c r="G18" s="22">
        <f t="shared" si="5"/>
        <v>17466.32233</v>
      </c>
      <c r="H18" s="22">
        <v>8515.41823899371</v>
      </c>
      <c r="I18" s="23">
        <f t="shared" si="6"/>
        <v>2.736792453</v>
      </c>
      <c r="J18" s="24">
        <v>6382.0412501436285</v>
      </c>
      <c r="K18" s="19">
        <v>0.48753355626609735</v>
      </c>
    </row>
    <row r="19">
      <c r="A19" s="19">
        <f t="shared" ref="A19:D19" si="7">B4/B$12</f>
        <v>0.09991508633</v>
      </c>
      <c r="B19" s="20">
        <f t="shared" si="7"/>
        <v>0.1035749265</v>
      </c>
      <c r="C19" s="20">
        <f t="shared" si="7"/>
        <v>0.1175495928</v>
      </c>
      <c r="D19" s="20">
        <f t="shared" si="7"/>
        <v>0.1200007615</v>
      </c>
      <c r="F19" s="21">
        <f t="shared" si="4"/>
        <v>6032.186761</v>
      </c>
      <c r="G19" s="22">
        <f t="shared" si="5"/>
        <v>12047.28517</v>
      </c>
      <c r="H19" s="22">
        <v>5892.9981114258735</v>
      </c>
      <c r="I19" s="23">
        <v>1.9971671388101984</v>
      </c>
      <c r="J19" s="24">
        <v>6032.1867612293145</v>
      </c>
      <c r="K19" s="19">
        <v>0.4891556915914039</v>
      </c>
    </row>
    <row r="20">
      <c r="A20" s="19">
        <f t="shared" ref="A20:D20" si="8">B5/B$12</f>
        <v>0.09994653584</v>
      </c>
      <c r="B20" s="20">
        <f t="shared" si="8"/>
        <v>0.08731635651</v>
      </c>
      <c r="C20" s="20">
        <f t="shared" si="8"/>
        <v>0.08911840044</v>
      </c>
      <c r="D20" s="20">
        <f t="shared" si="8"/>
        <v>0.08919971643</v>
      </c>
      <c r="F20" s="21">
        <f t="shared" si="4"/>
        <v>5424.75416</v>
      </c>
      <c r="G20" s="22">
        <f t="shared" si="5"/>
        <v>9130.58842</v>
      </c>
      <c r="H20" s="22">
        <v>4379.041850220265</v>
      </c>
      <c r="I20" s="23">
        <v>1.6831340465701699</v>
      </c>
      <c r="J20" s="24">
        <v>5424.75415965601</v>
      </c>
      <c r="K20" s="19">
        <v>0.47960127525199875</v>
      </c>
    </row>
    <row r="21">
      <c r="A21" s="19">
        <f t="shared" ref="A21:D21" si="9">B6/B$12</f>
        <v>0.1001037834</v>
      </c>
      <c r="B21" s="20">
        <f t="shared" si="9"/>
        <v>0.0764446621</v>
      </c>
      <c r="C21" s="20">
        <f t="shared" si="9"/>
        <v>0.06927266364</v>
      </c>
      <c r="D21" s="20">
        <f t="shared" si="9"/>
        <v>0.06880317218</v>
      </c>
      <c r="F21" s="21">
        <f t="shared" si="4"/>
        <v>4816.405082</v>
      </c>
      <c r="G21" s="22">
        <f t="shared" si="5"/>
        <v>7086.153</v>
      </c>
      <c r="H21" s="22">
        <v>3372.4175306314796</v>
      </c>
      <c r="I21" s="23">
        <v>1.471253534401508</v>
      </c>
      <c r="J21" s="24">
        <v>4816.405082212257</v>
      </c>
      <c r="K21" s="19">
        <v>0.4759165559199698</v>
      </c>
    </row>
    <row r="22">
      <c r="A22" s="19">
        <f t="shared" ref="A22:D22" si="10">B7/B$12</f>
        <v>0.09824826241</v>
      </c>
      <c r="B22" s="20">
        <f t="shared" si="10"/>
        <v>0.07068233758</v>
      </c>
      <c r="C22" s="20">
        <f t="shared" si="10"/>
        <v>0.05273317014</v>
      </c>
      <c r="D22" s="20">
        <f t="shared" si="10"/>
        <v>0.05094517948</v>
      </c>
      <c r="F22" s="21">
        <f t="shared" si="4"/>
        <v>3965.347575</v>
      </c>
      <c r="G22" s="22">
        <f t="shared" si="5"/>
        <v>5496.144366</v>
      </c>
      <c r="H22" s="22">
        <v>2544.260563380282</v>
      </c>
      <c r="I22" s="23">
        <v>1.3860435339308579</v>
      </c>
      <c r="J22" s="24">
        <v>3965.347575057737</v>
      </c>
      <c r="K22" s="19">
        <v>0.46291734602682416</v>
      </c>
    </row>
    <row r="23">
      <c r="A23" s="19">
        <f t="shared" ref="A23:D23" si="11">B8/B$12</f>
        <v>0.1016762588</v>
      </c>
      <c r="B23" s="20">
        <f t="shared" si="11"/>
        <v>0.06536075743</v>
      </c>
      <c r="C23" s="20">
        <f t="shared" si="11"/>
        <v>0.0413718756</v>
      </c>
      <c r="D23" s="20">
        <f t="shared" si="11"/>
        <v>0.03999602349</v>
      </c>
      <c r="F23" s="21">
        <f t="shared" si="4"/>
        <v>3364.313187</v>
      </c>
      <c r="G23" s="22">
        <f t="shared" si="5"/>
        <v>4166.628518</v>
      </c>
      <c r="H23" s="22">
        <v>1930.1036189297865</v>
      </c>
      <c r="I23" s="23">
        <v>1.238478193628209</v>
      </c>
      <c r="J23" s="24">
        <v>3364.313186813187</v>
      </c>
      <c r="K23" s="19">
        <v>0.4632291096757335</v>
      </c>
    </row>
    <row r="24">
      <c r="A24" s="19">
        <f t="shared" ref="A24:D24" si="12">B9/B$12</f>
        <v>0.09422272541</v>
      </c>
      <c r="B24" s="20">
        <f t="shared" si="12"/>
        <v>0.05572967679</v>
      </c>
      <c r="C24" s="20">
        <f t="shared" si="12"/>
        <v>0.028811597</v>
      </c>
      <c r="D24" s="20">
        <f t="shared" si="12"/>
        <v>0.02773229192</v>
      </c>
      <c r="F24" s="21">
        <f t="shared" si="4"/>
        <v>2747.825132</v>
      </c>
      <c r="G24" s="22">
        <f t="shared" si="5"/>
        <v>3131.199933</v>
      </c>
      <c r="H24" s="22">
        <v>1444.1538718291056</v>
      </c>
      <c r="I24" s="23">
        <v>1.1395193591455273</v>
      </c>
      <c r="J24" s="24">
        <v>2747.8251318101934</v>
      </c>
      <c r="K24" s="19">
        <v>0.46121419986515405</v>
      </c>
    </row>
    <row r="25">
      <c r="A25" s="19">
        <f t="shared" ref="A25:D25" si="13">B10/B$12</f>
        <v>0.1056703463</v>
      </c>
      <c r="B25" s="20">
        <f t="shared" si="13"/>
        <v>0.05972902383</v>
      </c>
      <c r="C25" s="20">
        <f t="shared" si="13"/>
        <v>0.02302360198</v>
      </c>
      <c r="D25" s="20">
        <f t="shared" si="13"/>
        <v>0.02137022559</v>
      </c>
      <c r="F25" s="21">
        <f t="shared" si="4"/>
        <v>2048.783821</v>
      </c>
      <c r="G25" s="22">
        <f t="shared" si="5"/>
        <v>2231.10119</v>
      </c>
      <c r="H25" s="22">
        <v>992.2916666666666</v>
      </c>
      <c r="I25" s="23">
        <v>1.0889880952380953</v>
      </c>
      <c r="J25" s="24">
        <v>2048.7838207160426</v>
      </c>
      <c r="K25" s="19">
        <v>0.4447542186353632</v>
      </c>
    </row>
    <row r="26">
      <c r="A26" s="19">
        <f t="shared" ref="A26:D26" si="14">B11/B$12</f>
        <v>0.1001981319</v>
      </c>
      <c r="B26" s="20">
        <f t="shared" si="14"/>
        <v>0.05337904016</v>
      </c>
      <c r="C26" s="20">
        <f t="shared" si="14"/>
        <v>0.01148815239</v>
      </c>
      <c r="D26" s="20">
        <f t="shared" si="14"/>
        <v>0.009965603878</v>
      </c>
      <c r="F26" s="21">
        <f t="shared" si="4"/>
        <v>1143.899083</v>
      </c>
      <c r="G26" s="22">
        <f t="shared" si="5"/>
        <v>1174.05838</v>
      </c>
      <c r="H26" s="22">
        <v>488.00847457627117</v>
      </c>
      <c r="I26" s="23">
        <v>1.0263653483992468</v>
      </c>
      <c r="J26" s="24">
        <v>1143.8990825688074</v>
      </c>
      <c r="K26" s="19">
        <v>0.4156594618438465</v>
      </c>
    </row>
    <row r="27">
      <c r="A27" s="19">
        <f t="shared" ref="A27:D27" si="15">B12/B$12</f>
        <v>1</v>
      </c>
      <c r="B27" s="20">
        <f t="shared" si="15"/>
        <v>1</v>
      </c>
      <c r="C27" s="20">
        <f t="shared" si="15"/>
        <v>1</v>
      </c>
      <c r="D27" s="20">
        <f t="shared" si="15"/>
        <v>1</v>
      </c>
      <c r="F27" s="21">
        <f t="shared" si="4"/>
        <v>5315.061378</v>
      </c>
      <c r="G27" s="22">
        <f t="shared" si="5"/>
        <v>10239.9805</v>
      </c>
      <c r="H27" s="22">
        <v>4906.630656980218</v>
      </c>
      <c r="I27" s="23">
        <v>1.926596848759317</v>
      </c>
      <c r="J27" s="24">
        <v>5315.061377734248</v>
      </c>
      <c r="K27" s="19">
        <v>0.4791640625052787</v>
      </c>
    </row>
    <row r="28">
      <c r="G2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14</v>
      </c>
      <c r="B1" s="25" t="s">
        <v>1</v>
      </c>
      <c r="C1" s="25" t="s">
        <v>2</v>
      </c>
      <c r="D1" s="25" t="s">
        <v>3</v>
      </c>
      <c r="E1" s="26" t="s">
        <v>4</v>
      </c>
      <c r="F1" s="27" t="s">
        <v>15</v>
      </c>
      <c r="G1" s="27" t="s">
        <v>16</v>
      </c>
      <c r="H1" s="27" t="s">
        <v>17</v>
      </c>
      <c r="I1" s="27" t="s">
        <v>18</v>
      </c>
    </row>
    <row r="2">
      <c r="A2" s="28" t="s">
        <v>19</v>
      </c>
      <c r="B2" s="29">
        <v>2943.0</v>
      </c>
      <c r="C2" s="29">
        <v>3683.0</v>
      </c>
      <c r="D2" s="29">
        <v>2.180398E7</v>
      </c>
      <c r="E2" s="30">
        <v>1.0398135E7</v>
      </c>
      <c r="F2" s="31">
        <f t="shared" ref="F2:F17" si="2">B2/$B$2</f>
        <v>1</v>
      </c>
      <c r="G2" s="32">
        <f t="shared" ref="G2:G17" si="3">D2/B2</f>
        <v>7408.759769</v>
      </c>
      <c r="H2" s="33">
        <f t="shared" ref="H2:I2" si="1">C2/B2</f>
        <v>1.251444105</v>
      </c>
      <c r="I2" s="32">
        <f t="shared" si="1"/>
        <v>5920.168341</v>
      </c>
    </row>
    <row r="3">
      <c r="A3" s="34" t="s">
        <v>20</v>
      </c>
      <c r="B3" s="35">
        <v>346.0</v>
      </c>
      <c r="C3" s="35">
        <v>513.0</v>
      </c>
      <c r="D3" s="35">
        <v>2765015.0</v>
      </c>
      <c r="E3" s="36">
        <v>1386330.0</v>
      </c>
      <c r="F3" s="37">
        <f t="shared" si="2"/>
        <v>0.1175671084</v>
      </c>
      <c r="G3" s="32">
        <f t="shared" si="3"/>
        <v>7991.372832</v>
      </c>
      <c r="H3" s="33">
        <f t="shared" ref="H3:I3" si="4">C3/B3</f>
        <v>1.48265896</v>
      </c>
      <c r="I3" s="32">
        <f t="shared" si="4"/>
        <v>5389.892788</v>
      </c>
    </row>
    <row r="4">
      <c r="A4" s="34" t="s">
        <v>21</v>
      </c>
      <c r="B4" s="35">
        <v>313.0</v>
      </c>
      <c r="C4" s="35">
        <v>451.0</v>
      </c>
      <c r="D4" s="35">
        <v>2352130.0</v>
      </c>
      <c r="E4" s="36">
        <v>1173700.0</v>
      </c>
      <c r="F4" s="37">
        <f t="shared" si="2"/>
        <v>0.1063540605</v>
      </c>
      <c r="G4" s="32">
        <f t="shared" si="3"/>
        <v>7514.792332</v>
      </c>
      <c r="H4" s="33">
        <f t="shared" ref="H4:I4" si="5">C4/B4</f>
        <v>1.440894569</v>
      </c>
      <c r="I4" s="32">
        <f t="shared" si="5"/>
        <v>5215.365854</v>
      </c>
    </row>
    <row r="5">
      <c r="A5" s="34" t="s">
        <v>22</v>
      </c>
      <c r="B5" s="35">
        <v>485.0</v>
      </c>
      <c r="C5" s="35">
        <v>819.0</v>
      </c>
      <c r="D5" s="35">
        <v>4692930.0</v>
      </c>
      <c r="E5" s="36">
        <v>2335300.0</v>
      </c>
      <c r="F5" s="37">
        <f t="shared" si="2"/>
        <v>0.1647978253</v>
      </c>
      <c r="G5" s="32">
        <f t="shared" si="3"/>
        <v>9676.14433</v>
      </c>
      <c r="H5" s="33">
        <f t="shared" ref="H5:I5" si="6">C5/B5</f>
        <v>1.688659794</v>
      </c>
      <c r="I5" s="32">
        <f t="shared" si="6"/>
        <v>5730.07326</v>
      </c>
    </row>
    <row r="6">
      <c r="A6" s="34" t="s">
        <v>23</v>
      </c>
      <c r="B6" s="35">
        <v>296.0</v>
      </c>
      <c r="C6" s="35">
        <v>435.0</v>
      </c>
      <c r="D6" s="35">
        <v>2411530.0</v>
      </c>
      <c r="E6" s="36">
        <v>1161600.0</v>
      </c>
      <c r="F6" s="37">
        <f t="shared" si="2"/>
        <v>0.1005776419</v>
      </c>
      <c r="G6" s="32">
        <f t="shared" si="3"/>
        <v>8147.060811</v>
      </c>
      <c r="H6" s="33">
        <f t="shared" ref="H6:I6" si="7">C6/B6</f>
        <v>1.469594595</v>
      </c>
      <c r="I6" s="32">
        <f t="shared" si="7"/>
        <v>5543.747126</v>
      </c>
    </row>
    <row r="7">
      <c r="A7" s="34" t="s">
        <v>24</v>
      </c>
      <c r="B7" s="35">
        <v>286.0</v>
      </c>
      <c r="C7" s="35">
        <v>453.0</v>
      </c>
      <c r="D7" s="35">
        <v>2186470.0</v>
      </c>
      <c r="E7" s="36">
        <v>1074425.0</v>
      </c>
      <c r="F7" s="37">
        <f t="shared" si="2"/>
        <v>0.09717974856</v>
      </c>
      <c r="G7" s="32">
        <f t="shared" si="3"/>
        <v>7645</v>
      </c>
      <c r="H7" s="33">
        <f t="shared" ref="H7:I7" si="8">C7/B7</f>
        <v>1.583916084</v>
      </c>
      <c r="I7" s="32">
        <f t="shared" si="8"/>
        <v>4826.644592</v>
      </c>
    </row>
    <row r="8">
      <c r="A8" s="34" t="s">
        <v>25</v>
      </c>
      <c r="B8" s="35">
        <v>245.0</v>
      </c>
      <c r="C8" s="35">
        <v>396.0</v>
      </c>
      <c r="D8" s="35">
        <v>2040280.0</v>
      </c>
      <c r="E8" s="36">
        <v>988295.0</v>
      </c>
      <c r="F8" s="37">
        <f t="shared" si="2"/>
        <v>0.083248386</v>
      </c>
      <c r="G8" s="32">
        <f t="shared" si="3"/>
        <v>8327.673469</v>
      </c>
      <c r="H8" s="33">
        <f t="shared" ref="H8:I8" si="9">C8/B8</f>
        <v>1.616326531</v>
      </c>
      <c r="I8" s="32">
        <f t="shared" si="9"/>
        <v>5152.222222</v>
      </c>
    </row>
    <row r="9">
      <c r="A9" s="34" t="s">
        <v>26</v>
      </c>
      <c r="B9" s="35">
        <v>420.0</v>
      </c>
      <c r="C9" s="35">
        <v>808.0</v>
      </c>
      <c r="D9" s="35">
        <v>4619175.0</v>
      </c>
      <c r="E9" s="36">
        <v>2215950.0</v>
      </c>
      <c r="F9" s="37">
        <f t="shared" si="2"/>
        <v>0.1427115189</v>
      </c>
      <c r="G9" s="32">
        <f t="shared" si="3"/>
        <v>10998.03571</v>
      </c>
      <c r="H9" s="33">
        <f t="shared" ref="H9:I9" si="10">C9/B9</f>
        <v>1.923809524</v>
      </c>
      <c r="I9" s="32">
        <f t="shared" si="10"/>
        <v>5716.800743</v>
      </c>
    </row>
    <row r="10">
      <c r="A10" s="34" t="s">
        <v>27</v>
      </c>
      <c r="B10" s="35">
        <v>312.0</v>
      </c>
      <c r="C10" s="35">
        <v>481.0</v>
      </c>
      <c r="D10" s="35">
        <v>2391565.0</v>
      </c>
      <c r="E10" s="36">
        <v>1101815.0</v>
      </c>
      <c r="F10" s="37">
        <f t="shared" si="2"/>
        <v>0.1060142712</v>
      </c>
      <c r="G10" s="32">
        <f t="shared" si="3"/>
        <v>7665.272436</v>
      </c>
      <c r="H10" s="33">
        <f t="shared" ref="H10:I10" si="11">C10/B10</f>
        <v>1.541666667</v>
      </c>
      <c r="I10" s="32">
        <f t="shared" si="11"/>
        <v>4972.068607</v>
      </c>
    </row>
    <row r="11">
      <c r="A11" s="34" t="s">
        <v>28</v>
      </c>
      <c r="B11" s="35">
        <v>281.0</v>
      </c>
      <c r="C11" s="35">
        <v>462.0</v>
      </c>
      <c r="D11" s="35">
        <v>2061895.0</v>
      </c>
      <c r="E11" s="36">
        <v>960080.0</v>
      </c>
      <c r="F11" s="37">
        <f t="shared" si="2"/>
        <v>0.0954808019</v>
      </c>
      <c r="G11" s="32">
        <f t="shared" si="3"/>
        <v>7337.704626</v>
      </c>
      <c r="H11" s="33">
        <f t="shared" ref="H11:I11" si="12">C11/B11</f>
        <v>1.644128114</v>
      </c>
      <c r="I11" s="32">
        <f t="shared" si="12"/>
        <v>4462.97619</v>
      </c>
    </row>
    <row r="12">
      <c r="A12" s="34" t="s">
        <v>29</v>
      </c>
      <c r="B12" s="35">
        <v>220.0</v>
      </c>
      <c r="C12" s="35">
        <v>384.0</v>
      </c>
      <c r="D12" s="35">
        <v>1826220.0</v>
      </c>
      <c r="E12" s="36">
        <v>838310.0</v>
      </c>
      <c r="F12" s="37">
        <f t="shared" si="2"/>
        <v>0.07475365274</v>
      </c>
      <c r="G12" s="32">
        <f t="shared" si="3"/>
        <v>8301</v>
      </c>
      <c r="H12" s="33">
        <f t="shared" ref="H12:I12" si="13">C12/B12</f>
        <v>1.745454545</v>
      </c>
      <c r="I12" s="32">
        <f t="shared" si="13"/>
        <v>4755.78125</v>
      </c>
    </row>
    <row r="13">
      <c r="A13" s="34" t="s">
        <v>30</v>
      </c>
      <c r="B13" s="35">
        <v>358.0</v>
      </c>
      <c r="C13" s="35">
        <v>722.0</v>
      </c>
      <c r="D13" s="35">
        <v>3652880.0</v>
      </c>
      <c r="E13" s="36">
        <v>1726835.0</v>
      </c>
      <c r="F13" s="37">
        <f t="shared" si="2"/>
        <v>0.1216445804</v>
      </c>
      <c r="G13" s="32">
        <f t="shared" si="3"/>
        <v>10203.57542</v>
      </c>
      <c r="H13" s="33">
        <f t="shared" ref="H13:I13" si="14">C13/B13</f>
        <v>2.016759777</v>
      </c>
      <c r="I13" s="32">
        <f t="shared" si="14"/>
        <v>5059.390582</v>
      </c>
    </row>
    <row r="14">
      <c r="A14" s="34" t="s">
        <v>31</v>
      </c>
      <c r="B14" s="35">
        <v>244.0</v>
      </c>
      <c r="C14" s="35">
        <v>397.0</v>
      </c>
      <c r="D14" s="35">
        <v>1945185.0</v>
      </c>
      <c r="E14" s="36">
        <v>908215.0</v>
      </c>
      <c r="F14" s="37">
        <f t="shared" si="2"/>
        <v>0.08290859667</v>
      </c>
      <c r="G14" s="32">
        <f t="shared" si="3"/>
        <v>7972.069672</v>
      </c>
      <c r="H14" s="33">
        <f t="shared" ref="H14:I14" si="15">C14/B14</f>
        <v>1.62704918</v>
      </c>
      <c r="I14" s="32">
        <f t="shared" si="15"/>
        <v>4899.710327</v>
      </c>
    </row>
    <row r="15">
      <c r="A15" s="34" t="s">
        <v>32</v>
      </c>
      <c r="B15" s="35">
        <v>236.0</v>
      </c>
      <c r="C15" s="35">
        <v>390.0</v>
      </c>
      <c r="D15" s="35">
        <v>1882925.0</v>
      </c>
      <c r="E15" s="36">
        <v>884840.0</v>
      </c>
      <c r="F15" s="37">
        <f t="shared" si="2"/>
        <v>0.08019028203</v>
      </c>
      <c r="G15" s="32">
        <f t="shared" si="3"/>
        <v>7978.495763</v>
      </c>
      <c r="H15" s="33">
        <f t="shared" ref="H15:I15" si="16">C15/B15</f>
        <v>1.652542373</v>
      </c>
      <c r="I15" s="32">
        <f t="shared" si="16"/>
        <v>4828.012821</v>
      </c>
    </row>
    <row r="16">
      <c r="A16" s="34" t="s">
        <v>33</v>
      </c>
      <c r="B16" s="35">
        <v>201.0</v>
      </c>
      <c r="C16" s="35">
        <v>338.0</v>
      </c>
      <c r="D16" s="35">
        <v>1504580.0</v>
      </c>
      <c r="E16" s="36">
        <v>703560.0</v>
      </c>
      <c r="F16" s="37">
        <f t="shared" si="2"/>
        <v>0.06829765545</v>
      </c>
      <c r="G16" s="32">
        <f t="shared" si="3"/>
        <v>7485.472637</v>
      </c>
      <c r="H16" s="33">
        <f t="shared" ref="H16:I16" si="17">C16/B16</f>
        <v>1.68159204</v>
      </c>
      <c r="I16" s="32">
        <f t="shared" si="17"/>
        <v>4451.420118</v>
      </c>
    </row>
    <row r="17">
      <c r="A17" s="38" t="s">
        <v>34</v>
      </c>
      <c r="B17" s="39">
        <v>353.0</v>
      </c>
      <c r="C17" s="39">
        <v>657.0</v>
      </c>
      <c r="D17" s="39">
        <v>3447070.0</v>
      </c>
      <c r="E17" s="40">
        <v>1627065.0</v>
      </c>
      <c r="F17" s="37">
        <f t="shared" si="2"/>
        <v>0.1199456337</v>
      </c>
      <c r="G17" s="32">
        <f t="shared" si="3"/>
        <v>9765.070822</v>
      </c>
      <c r="H17" s="33">
        <f t="shared" ref="H17:I17" si="18">C17/B17</f>
        <v>1.861189802</v>
      </c>
      <c r="I17" s="32">
        <f t="shared" si="18"/>
        <v>5246.681887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35</v>
      </c>
      <c r="B1" s="42"/>
      <c r="C1" s="42"/>
      <c r="D1" s="42"/>
      <c r="E1" s="43"/>
    </row>
    <row r="2">
      <c r="A2" s="25" t="s">
        <v>14</v>
      </c>
      <c r="B2" s="25" t="s">
        <v>1</v>
      </c>
      <c r="C2" s="25" t="s">
        <v>2</v>
      </c>
      <c r="D2" s="25" t="s">
        <v>3</v>
      </c>
      <c r="E2" s="44" t="s">
        <v>4</v>
      </c>
      <c r="F2" s="27" t="s">
        <v>15</v>
      </c>
      <c r="G2" s="27" t="s">
        <v>16</v>
      </c>
      <c r="H2" s="27" t="s">
        <v>17</v>
      </c>
      <c r="I2" s="27" t="s">
        <v>18</v>
      </c>
    </row>
    <row r="3">
      <c r="A3" s="34" t="s">
        <v>21</v>
      </c>
      <c r="B3" s="35">
        <v>2842.0</v>
      </c>
      <c r="C3" s="35">
        <v>3593.0</v>
      </c>
      <c r="D3" s="35">
        <v>1.8866045E7</v>
      </c>
      <c r="E3" s="45">
        <v>9389215.0</v>
      </c>
      <c r="F3" s="46">
        <f t="shared" ref="F3:F16" si="2">B3/$B$3</f>
        <v>1</v>
      </c>
      <c r="G3" s="47">
        <f t="shared" ref="G3:G16" si="3">D3/B3</f>
        <v>6638.298733</v>
      </c>
      <c r="H3" s="48">
        <f t="shared" ref="H3:I3" si="1">C3/B3</f>
        <v>1.264250528</v>
      </c>
      <c r="I3" s="47">
        <f t="shared" si="1"/>
        <v>5250.777901</v>
      </c>
    </row>
    <row r="4">
      <c r="A4" s="34" t="s">
        <v>22</v>
      </c>
      <c r="B4" s="35">
        <v>529.0</v>
      </c>
      <c r="C4" s="35">
        <v>818.0</v>
      </c>
      <c r="D4" s="35">
        <v>4377010.0</v>
      </c>
      <c r="E4" s="45">
        <v>2173325.0</v>
      </c>
      <c r="F4" s="46">
        <f t="shared" si="2"/>
        <v>0.1861365236</v>
      </c>
      <c r="G4" s="47">
        <f t="shared" si="3"/>
        <v>8274.120983</v>
      </c>
      <c r="H4" s="48">
        <f t="shared" ref="H4:I4" si="4">C4/B4</f>
        <v>1.5463138</v>
      </c>
      <c r="I4" s="47">
        <f t="shared" si="4"/>
        <v>5350.867971</v>
      </c>
    </row>
    <row r="5">
      <c r="A5" s="34" t="s">
        <v>23</v>
      </c>
      <c r="B5" s="35">
        <v>237.0</v>
      </c>
      <c r="C5" s="35">
        <v>325.0</v>
      </c>
      <c r="D5" s="35">
        <v>1908940.0</v>
      </c>
      <c r="E5" s="45">
        <v>942755.0</v>
      </c>
      <c r="F5" s="46">
        <f t="shared" si="2"/>
        <v>0.08339197748</v>
      </c>
      <c r="G5" s="47">
        <f t="shared" si="3"/>
        <v>8054.599156</v>
      </c>
      <c r="H5" s="48">
        <f t="shared" ref="H5:I5" si="5">C5/B5</f>
        <v>1.371308017</v>
      </c>
      <c r="I5" s="47">
        <f t="shared" si="5"/>
        <v>5873.661538</v>
      </c>
    </row>
    <row r="6">
      <c r="A6" s="34" t="s">
        <v>24</v>
      </c>
      <c r="B6" s="35">
        <v>318.0</v>
      </c>
      <c r="C6" s="35">
        <v>467.0</v>
      </c>
      <c r="D6" s="35">
        <v>2357300.0</v>
      </c>
      <c r="E6" s="45">
        <v>1154450.0</v>
      </c>
      <c r="F6" s="46">
        <f t="shared" si="2"/>
        <v>0.1118930331</v>
      </c>
      <c r="G6" s="47">
        <f t="shared" si="3"/>
        <v>7412.893082</v>
      </c>
      <c r="H6" s="48">
        <f t="shared" ref="H6:I6" si="6">C6/B6</f>
        <v>1.468553459</v>
      </c>
      <c r="I6" s="47">
        <f t="shared" si="6"/>
        <v>5047.751606</v>
      </c>
    </row>
    <row r="7">
      <c r="A7" s="34" t="s">
        <v>25</v>
      </c>
      <c r="B7" s="35">
        <v>317.0</v>
      </c>
      <c r="C7" s="35">
        <v>468.0</v>
      </c>
      <c r="D7" s="35">
        <v>2213530.0</v>
      </c>
      <c r="E7" s="45">
        <v>1063370.0</v>
      </c>
      <c r="F7" s="46">
        <f t="shared" si="2"/>
        <v>0.1115411682</v>
      </c>
      <c r="G7" s="47">
        <f t="shared" si="3"/>
        <v>6982.744479</v>
      </c>
      <c r="H7" s="48">
        <f t="shared" ref="H7:I7" si="7">C7/B7</f>
        <v>1.476340694</v>
      </c>
      <c r="I7" s="47">
        <f t="shared" si="7"/>
        <v>4729.764957</v>
      </c>
    </row>
    <row r="8">
      <c r="A8" s="34" t="s">
        <v>26</v>
      </c>
      <c r="B8" s="35">
        <v>366.0</v>
      </c>
      <c r="C8" s="35">
        <v>615.0</v>
      </c>
      <c r="D8" s="35">
        <v>3017685.0</v>
      </c>
      <c r="E8" s="45">
        <v>1435610.0</v>
      </c>
      <c r="F8" s="46">
        <f t="shared" si="2"/>
        <v>0.1287825475</v>
      </c>
      <c r="G8" s="47">
        <f t="shared" si="3"/>
        <v>8245.040984</v>
      </c>
      <c r="H8" s="48">
        <f t="shared" ref="H8:I8" si="8">C8/B8</f>
        <v>1.680327869</v>
      </c>
      <c r="I8" s="47">
        <f t="shared" si="8"/>
        <v>4906.804878</v>
      </c>
    </row>
    <row r="9">
      <c r="A9" s="34" t="s">
        <v>27</v>
      </c>
      <c r="B9" s="35">
        <v>234.0</v>
      </c>
      <c r="C9" s="35">
        <v>339.0</v>
      </c>
      <c r="D9" s="35">
        <v>1575365.0</v>
      </c>
      <c r="E9" s="45">
        <v>740795.0</v>
      </c>
      <c r="F9" s="46">
        <f t="shared" si="2"/>
        <v>0.08233638283</v>
      </c>
      <c r="G9" s="47">
        <f t="shared" si="3"/>
        <v>6732.32906</v>
      </c>
      <c r="H9" s="48">
        <f t="shared" ref="H9:I9" si="9">C9/B9</f>
        <v>1.448717949</v>
      </c>
      <c r="I9" s="47">
        <f t="shared" si="9"/>
        <v>4647.094395</v>
      </c>
    </row>
    <row r="10">
      <c r="A10" s="34" t="s">
        <v>28</v>
      </c>
      <c r="B10" s="35">
        <v>254.0</v>
      </c>
      <c r="C10" s="35">
        <v>408.0</v>
      </c>
      <c r="D10" s="35">
        <v>1804770.0</v>
      </c>
      <c r="E10" s="45">
        <v>868560.0</v>
      </c>
      <c r="F10" s="46">
        <f t="shared" si="2"/>
        <v>0.08937368051</v>
      </c>
      <c r="G10" s="47">
        <f t="shared" si="3"/>
        <v>7105.393701</v>
      </c>
      <c r="H10" s="48">
        <f t="shared" ref="H10:I10" si="10">C10/B10</f>
        <v>1.606299213</v>
      </c>
      <c r="I10" s="47">
        <f t="shared" si="10"/>
        <v>4423.455882</v>
      </c>
    </row>
    <row r="11">
      <c r="A11" s="34" t="s">
        <v>29</v>
      </c>
      <c r="B11" s="35">
        <v>269.0</v>
      </c>
      <c r="C11" s="35">
        <v>385.0</v>
      </c>
      <c r="D11" s="35">
        <v>1582735.0</v>
      </c>
      <c r="E11" s="45">
        <v>742940.0</v>
      </c>
      <c r="F11" s="46">
        <f t="shared" si="2"/>
        <v>0.09465165376</v>
      </c>
      <c r="G11" s="47">
        <f t="shared" si="3"/>
        <v>5883.773234</v>
      </c>
      <c r="H11" s="48">
        <f t="shared" ref="H11:I11" si="11">C11/B11</f>
        <v>1.431226766</v>
      </c>
      <c r="I11" s="47">
        <f t="shared" si="11"/>
        <v>4111</v>
      </c>
    </row>
    <row r="12">
      <c r="A12" s="34" t="s">
        <v>30</v>
      </c>
      <c r="B12" s="35">
        <v>358.0</v>
      </c>
      <c r="C12" s="35">
        <v>625.0</v>
      </c>
      <c r="D12" s="35">
        <v>3222065.0</v>
      </c>
      <c r="E12" s="45">
        <v>1519155.0</v>
      </c>
      <c r="F12" s="46">
        <f t="shared" si="2"/>
        <v>0.1259676284</v>
      </c>
      <c r="G12" s="47">
        <f t="shared" si="3"/>
        <v>9000.181564</v>
      </c>
      <c r="H12" s="48">
        <f t="shared" ref="H12:I12" si="12">C12/B12</f>
        <v>1.745810056</v>
      </c>
      <c r="I12" s="47">
        <f t="shared" si="12"/>
        <v>5155.304</v>
      </c>
    </row>
    <row r="13">
      <c r="A13" s="34" t="s">
        <v>31</v>
      </c>
      <c r="B13" s="35">
        <v>220.0</v>
      </c>
      <c r="C13" s="35">
        <v>323.0</v>
      </c>
      <c r="D13" s="35">
        <v>1638945.0</v>
      </c>
      <c r="E13" s="45">
        <v>766755.0</v>
      </c>
      <c r="F13" s="46">
        <f t="shared" si="2"/>
        <v>0.07741027445</v>
      </c>
      <c r="G13" s="47">
        <f t="shared" si="3"/>
        <v>7449.75</v>
      </c>
      <c r="H13" s="48">
        <f t="shared" ref="H13:I13" si="13">C13/B13</f>
        <v>1.468181818</v>
      </c>
      <c r="I13" s="47">
        <f t="shared" si="13"/>
        <v>5074.133127</v>
      </c>
    </row>
    <row r="14">
      <c r="A14" s="34" t="s">
        <v>32</v>
      </c>
      <c r="B14" s="35">
        <v>224.0</v>
      </c>
      <c r="C14" s="35">
        <v>338.0</v>
      </c>
      <c r="D14" s="35">
        <v>1742675.0</v>
      </c>
      <c r="E14" s="45">
        <v>828905.0</v>
      </c>
      <c r="F14" s="46">
        <f t="shared" si="2"/>
        <v>0.07881773399</v>
      </c>
      <c r="G14" s="47">
        <f t="shared" si="3"/>
        <v>7779.799107</v>
      </c>
      <c r="H14" s="48">
        <f t="shared" ref="H14:I14" si="14">C14/B14</f>
        <v>1.508928571</v>
      </c>
      <c r="I14" s="47">
        <f t="shared" si="14"/>
        <v>5155.843195</v>
      </c>
    </row>
    <row r="15">
      <c r="A15" s="34" t="s">
        <v>33</v>
      </c>
      <c r="B15" s="35">
        <v>230.0</v>
      </c>
      <c r="C15" s="35">
        <v>349.0</v>
      </c>
      <c r="D15" s="35">
        <v>1446720.0</v>
      </c>
      <c r="E15" s="45">
        <v>692780.0</v>
      </c>
      <c r="F15" s="46">
        <f t="shared" si="2"/>
        <v>0.08092892329</v>
      </c>
      <c r="G15" s="47">
        <f t="shared" si="3"/>
        <v>6290.086957</v>
      </c>
      <c r="H15" s="48">
        <f t="shared" ref="H15:I15" si="15">C15/B15</f>
        <v>1.517391304</v>
      </c>
      <c r="I15" s="47">
        <f t="shared" si="15"/>
        <v>4145.329513</v>
      </c>
    </row>
    <row r="16">
      <c r="A16" s="38" t="s">
        <v>34</v>
      </c>
      <c r="B16" s="39">
        <v>311.0</v>
      </c>
      <c r="C16" s="39">
        <v>523.0</v>
      </c>
      <c r="D16" s="39">
        <v>2693735.0</v>
      </c>
      <c r="E16" s="49">
        <v>1293325.0</v>
      </c>
      <c r="F16" s="46">
        <f t="shared" si="2"/>
        <v>0.1094299789</v>
      </c>
      <c r="G16" s="47">
        <f t="shared" si="3"/>
        <v>8661.527331</v>
      </c>
      <c r="H16" s="48">
        <f t="shared" ref="H16:I16" si="16">C16/B16</f>
        <v>1.681672026</v>
      </c>
      <c r="I16" s="47">
        <f t="shared" si="16"/>
        <v>5150.544933</v>
      </c>
    </row>
    <row r="17">
      <c r="A17" s="42"/>
      <c r="B17" s="42"/>
      <c r="C17" s="50">
        <f t="shared" ref="C17:E17" si="17">STDEV(C2:C16)/AVERAGE(C2:C16)</f>
        <v>1.242120348</v>
      </c>
      <c r="D17" s="50">
        <f t="shared" si="17"/>
        <v>1.303056809</v>
      </c>
      <c r="E17" s="50">
        <f t="shared" si="17"/>
        <v>1.336591609</v>
      </c>
      <c r="F17" s="8"/>
      <c r="G17" s="51"/>
      <c r="H17" s="52"/>
      <c r="I17" s="51"/>
    </row>
    <row r="18">
      <c r="F18" s="8"/>
      <c r="G18" s="51"/>
      <c r="H18" s="52"/>
      <c r="I18" s="51"/>
    </row>
    <row r="19">
      <c r="A19" s="41" t="s">
        <v>36</v>
      </c>
      <c r="B19" s="42"/>
      <c r="C19" s="42"/>
      <c r="D19" s="42"/>
      <c r="E19" s="42"/>
    </row>
    <row r="20">
      <c r="A20" s="25" t="s">
        <v>14</v>
      </c>
      <c r="B20" s="25" t="s">
        <v>1</v>
      </c>
      <c r="C20" s="25" t="s">
        <v>2</v>
      </c>
      <c r="D20" s="25" t="s">
        <v>3</v>
      </c>
      <c r="E20" s="25" t="s">
        <v>4</v>
      </c>
      <c r="F20" s="27" t="s">
        <v>15</v>
      </c>
      <c r="G20" s="27" t="s">
        <v>16</v>
      </c>
      <c r="H20" s="27" t="s">
        <v>17</v>
      </c>
      <c r="I20" s="27" t="s">
        <v>18</v>
      </c>
    </row>
    <row r="21">
      <c r="A21" s="53"/>
      <c r="B21" s="54"/>
      <c r="C21" s="54"/>
      <c r="D21" s="35">
        <v>0.0</v>
      </c>
      <c r="E21" s="35">
        <v>0.0</v>
      </c>
      <c r="F21" s="31"/>
      <c r="G21" s="32"/>
      <c r="H21" s="33"/>
      <c r="I21" s="32"/>
    </row>
    <row r="22">
      <c r="A22" s="34" t="s">
        <v>22</v>
      </c>
      <c r="B22" s="35">
        <v>6161.0</v>
      </c>
      <c r="C22" s="35">
        <v>7980.0</v>
      </c>
      <c r="D22" s="35">
        <v>5.0815985E7</v>
      </c>
      <c r="E22" s="35">
        <v>2.616405E7</v>
      </c>
      <c r="F22" s="37">
        <f t="shared" ref="F22:F34" si="19">B22/$B$22</f>
        <v>1</v>
      </c>
      <c r="G22" s="32">
        <f t="shared" ref="G22:G34" si="20">D22/B22</f>
        <v>8248.009252</v>
      </c>
      <c r="H22" s="33">
        <f t="shared" ref="H22:I22" si="18">C22/B22</f>
        <v>1.295244279</v>
      </c>
      <c r="I22" s="32">
        <f t="shared" si="18"/>
        <v>6367.91792</v>
      </c>
    </row>
    <row r="23">
      <c r="A23" s="34" t="s">
        <v>23</v>
      </c>
      <c r="B23" s="35">
        <v>619.0</v>
      </c>
      <c r="C23" s="35">
        <v>939.0</v>
      </c>
      <c r="D23" s="35">
        <v>5396435.0</v>
      </c>
      <c r="E23" s="35">
        <v>2596110.0</v>
      </c>
      <c r="F23" s="37">
        <f t="shared" si="19"/>
        <v>0.1004707028</v>
      </c>
      <c r="G23" s="32">
        <f t="shared" si="20"/>
        <v>8717.988691</v>
      </c>
      <c r="H23" s="33">
        <f t="shared" ref="H23:I23" si="21">C23/B23</f>
        <v>1.516962843</v>
      </c>
      <c r="I23" s="32">
        <f t="shared" si="21"/>
        <v>5747.00213</v>
      </c>
    </row>
    <row r="24">
      <c r="A24" s="34" t="s">
        <v>24</v>
      </c>
      <c r="B24" s="35">
        <v>546.0</v>
      </c>
      <c r="C24" s="35">
        <v>855.0</v>
      </c>
      <c r="D24" s="35">
        <v>4014505.0</v>
      </c>
      <c r="E24" s="35">
        <v>1990010.0</v>
      </c>
      <c r="F24" s="37">
        <f t="shared" si="19"/>
        <v>0.08862197695</v>
      </c>
      <c r="G24" s="32">
        <f t="shared" si="20"/>
        <v>7352.57326</v>
      </c>
      <c r="H24" s="33">
        <f t="shared" ref="H24:I24" si="22">C24/B24</f>
        <v>1.565934066</v>
      </c>
      <c r="I24" s="32">
        <f t="shared" si="22"/>
        <v>4695.327485</v>
      </c>
    </row>
    <row r="25">
      <c r="A25" s="34" t="s">
        <v>25</v>
      </c>
      <c r="B25" s="35">
        <v>451.0</v>
      </c>
      <c r="C25" s="35">
        <v>696.0</v>
      </c>
      <c r="D25" s="35">
        <v>3515930.0</v>
      </c>
      <c r="E25" s="35">
        <v>1742015.0</v>
      </c>
      <c r="F25" s="37">
        <f t="shared" si="19"/>
        <v>0.07320240221</v>
      </c>
      <c r="G25" s="32">
        <f t="shared" si="20"/>
        <v>7795.853659</v>
      </c>
      <c r="H25" s="33">
        <f t="shared" ref="H25:I25" si="23">C25/B25</f>
        <v>1.543237251</v>
      </c>
      <c r="I25" s="32">
        <f t="shared" si="23"/>
        <v>5051.623563</v>
      </c>
    </row>
    <row r="26">
      <c r="A26" s="34" t="s">
        <v>26</v>
      </c>
      <c r="B26" s="35">
        <v>939.0</v>
      </c>
      <c r="C26" s="35">
        <v>1579.0</v>
      </c>
      <c r="D26" s="35">
        <v>8754185.0</v>
      </c>
      <c r="E26" s="35">
        <v>4264700.0</v>
      </c>
      <c r="F26" s="37">
        <f t="shared" si="19"/>
        <v>0.152410323</v>
      </c>
      <c r="G26" s="32">
        <f t="shared" si="20"/>
        <v>9322.880724</v>
      </c>
      <c r="H26" s="33">
        <f t="shared" ref="H26:I26" si="24">C26/B26</f>
        <v>1.681576145</v>
      </c>
      <c r="I26" s="32">
        <f t="shared" si="24"/>
        <v>5544.132362</v>
      </c>
    </row>
    <row r="27">
      <c r="A27" s="34" t="s">
        <v>27</v>
      </c>
      <c r="B27" s="35">
        <v>418.0</v>
      </c>
      <c r="C27" s="35">
        <v>687.0</v>
      </c>
      <c r="D27" s="35">
        <v>3430020.0</v>
      </c>
      <c r="E27" s="35">
        <v>1596375.0</v>
      </c>
      <c r="F27" s="37">
        <f t="shared" si="19"/>
        <v>0.06784612888</v>
      </c>
      <c r="G27" s="32">
        <f t="shared" si="20"/>
        <v>8205.789474</v>
      </c>
      <c r="H27" s="33">
        <f t="shared" ref="H27:I27" si="25">C27/B27</f>
        <v>1.64354067</v>
      </c>
      <c r="I27" s="32">
        <f t="shared" si="25"/>
        <v>4992.751092</v>
      </c>
    </row>
    <row r="28">
      <c r="A28" s="34" t="s">
        <v>28</v>
      </c>
      <c r="B28" s="35">
        <v>442.0</v>
      </c>
      <c r="C28" s="35">
        <v>738.0</v>
      </c>
      <c r="D28" s="35">
        <v>3375460.0</v>
      </c>
      <c r="E28" s="35">
        <v>1614635.0</v>
      </c>
      <c r="F28" s="37">
        <f t="shared" si="19"/>
        <v>0.07174160039</v>
      </c>
      <c r="G28" s="32">
        <f t="shared" si="20"/>
        <v>7636.78733</v>
      </c>
      <c r="H28" s="33">
        <f t="shared" ref="H28:I28" si="26">C28/B28</f>
        <v>1.669683258</v>
      </c>
      <c r="I28" s="32">
        <f t="shared" si="26"/>
        <v>4573.794038</v>
      </c>
    </row>
    <row r="29">
      <c r="A29" s="34" t="s">
        <v>29</v>
      </c>
      <c r="B29" s="35">
        <v>430.0</v>
      </c>
      <c r="C29" s="35">
        <v>731.0</v>
      </c>
      <c r="D29" s="35">
        <v>3476385.0</v>
      </c>
      <c r="E29" s="35">
        <v>1640210.0</v>
      </c>
      <c r="F29" s="37">
        <f t="shared" si="19"/>
        <v>0.06979386463</v>
      </c>
      <c r="G29" s="32">
        <f t="shared" si="20"/>
        <v>8084.616279</v>
      </c>
      <c r="H29" s="33">
        <f t="shared" ref="H29:I29" si="27">C29/B29</f>
        <v>1.7</v>
      </c>
      <c r="I29" s="32">
        <f t="shared" si="27"/>
        <v>4755.656635</v>
      </c>
    </row>
    <row r="30">
      <c r="A30" s="34" t="s">
        <v>30</v>
      </c>
      <c r="B30" s="35">
        <v>885.0</v>
      </c>
      <c r="C30" s="35">
        <v>1542.0</v>
      </c>
      <c r="D30" s="35">
        <v>8510590.0</v>
      </c>
      <c r="E30" s="35">
        <v>4095850.0</v>
      </c>
      <c r="F30" s="37">
        <f t="shared" si="19"/>
        <v>0.1436455121</v>
      </c>
      <c r="G30" s="32">
        <f t="shared" si="20"/>
        <v>9616.485876</v>
      </c>
      <c r="H30" s="33">
        <f t="shared" ref="H30:I30" si="28">C30/B30</f>
        <v>1.742372881</v>
      </c>
      <c r="I30" s="32">
        <f t="shared" si="28"/>
        <v>5519.189364</v>
      </c>
    </row>
    <row r="31">
      <c r="A31" s="34" t="s">
        <v>31</v>
      </c>
      <c r="B31" s="35">
        <v>381.0</v>
      </c>
      <c r="C31" s="35">
        <v>625.0</v>
      </c>
      <c r="D31" s="35">
        <v>3439535.0</v>
      </c>
      <c r="E31" s="35">
        <v>1651705.0</v>
      </c>
      <c r="F31" s="37">
        <f t="shared" si="19"/>
        <v>0.06184061029</v>
      </c>
      <c r="G31" s="32">
        <f t="shared" si="20"/>
        <v>9027.650919</v>
      </c>
      <c r="H31" s="33">
        <f t="shared" ref="H31:I31" si="29">C31/B31</f>
        <v>1.640419948</v>
      </c>
      <c r="I31" s="32">
        <f t="shared" si="29"/>
        <v>5503.256</v>
      </c>
    </row>
    <row r="32">
      <c r="A32" s="34" t="s">
        <v>32</v>
      </c>
      <c r="B32" s="35">
        <v>384.0</v>
      </c>
      <c r="C32" s="35">
        <v>654.0</v>
      </c>
      <c r="D32" s="35">
        <v>3467475.0</v>
      </c>
      <c r="E32" s="35">
        <v>1650495.0</v>
      </c>
      <c r="F32" s="37">
        <f t="shared" si="19"/>
        <v>0.06232754423</v>
      </c>
      <c r="G32" s="32">
        <f t="shared" si="20"/>
        <v>9029.882813</v>
      </c>
      <c r="H32" s="33">
        <f t="shared" ref="H32:I32" si="30">C32/B32</f>
        <v>1.703125</v>
      </c>
      <c r="I32" s="32">
        <f t="shared" si="30"/>
        <v>5301.949541</v>
      </c>
    </row>
    <row r="33">
      <c r="A33" s="34" t="s">
        <v>33</v>
      </c>
      <c r="B33" s="35">
        <v>351.0</v>
      </c>
      <c r="C33" s="35">
        <v>561.0</v>
      </c>
      <c r="D33" s="35">
        <v>2413840.0</v>
      </c>
      <c r="E33" s="35">
        <v>1158025.0</v>
      </c>
      <c r="F33" s="37">
        <f t="shared" si="19"/>
        <v>0.0569712709</v>
      </c>
      <c r="G33" s="32">
        <f t="shared" si="20"/>
        <v>6877.037037</v>
      </c>
      <c r="H33" s="33">
        <f t="shared" ref="H33:I33" si="31">C33/B33</f>
        <v>1.598290598</v>
      </c>
      <c r="I33" s="32">
        <f t="shared" si="31"/>
        <v>4302.745098</v>
      </c>
    </row>
    <row r="34">
      <c r="A34" s="38" t="s">
        <v>34</v>
      </c>
      <c r="B34" s="39">
        <v>743.0</v>
      </c>
      <c r="C34" s="39">
        <v>1364.0</v>
      </c>
      <c r="D34" s="39">
        <v>7542645.0</v>
      </c>
      <c r="E34" s="40">
        <v>3669875.0</v>
      </c>
      <c r="F34" s="37">
        <f t="shared" si="19"/>
        <v>0.1205973056</v>
      </c>
      <c r="G34" s="32">
        <f t="shared" si="20"/>
        <v>10151.60834</v>
      </c>
      <c r="H34" s="33">
        <f t="shared" ref="H34:I34" si="32">C34/B34</f>
        <v>1.835800808</v>
      </c>
      <c r="I34" s="32">
        <f t="shared" si="32"/>
        <v>5529.798387</v>
      </c>
    </row>
    <row r="35">
      <c r="A35" s="42"/>
      <c r="B35" s="42"/>
      <c r="C35" s="50">
        <f t="shared" ref="C35:E35" si="33">STDEV(C22:C30)/AVERAGE(C22:C30)</f>
        <v>1.350201095</v>
      </c>
      <c r="D35" s="50">
        <f t="shared" si="33"/>
        <v>1.518614684</v>
      </c>
      <c r="E35" s="50">
        <f t="shared" si="33"/>
        <v>1.570744487</v>
      </c>
      <c r="F35" s="8"/>
    </row>
    <row r="37">
      <c r="A37" s="41" t="s">
        <v>37</v>
      </c>
      <c r="B37" s="42"/>
      <c r="C37" s="42"/>
      <c r="D37" s="42"/>
      <c r="E37" s="42"/>
    </row>
    <row r="38">
      <c r="A38" s="25" t="s">
        <v>14</v>
      </c>
      <c r="B38" s="25" t="s">
        <v>1</v>
      </c>
      <c r="C38" s="25" t="s">
        <v>2</v>
      </c>
      <c r="D38" s="25" t="s">
        <v>3</v>
      </c>
      <c r="E38" s="25" t="s">
        <v>4</v>
      </c>
      <c r="F38" s="27" t="s">
        <v>15</v>
      </c>
      <c r="G38" s="27" t="s">
        <v>16</v>
      </c>
      <c r="H38" s="27" t="s">
        <v>17</v>
      </c>
      <c r="I38" s="27" t="s">
        <v>18</v>
      </c>
    </row>
    <row r="39">
      <c r="A39" s="53"/>
      <c r="B39" s="54"/>
      <c r="C39" s="54"/>
      <c r="D39" s="35">
        <v>0.0</v>
      </c>
      <c r="E39" s="35">
        <v>0.0</v>
      </c>
      <c r="F39" s="31"/>
      <c r="G39" s="32"/>
      <c r="H39" s="33"/>
      <c r="I39" s="32"/>
    </row>
    <row r="40">
      <c r="A40" s="53"/>
      <c r="B40" s="54"/>
      <c r="C40" s="54"/>
      <c r="D40" s="35">
        <v>0.0</v>
      </c>
      <c r="E40" s="35">
        <v>0.0</v>
      </c>
      <c r="F40" s="37"/>
      <c r="G40" s="32"/>
      <c r="H40" s="33"/>
      <c r="I40" s="32"/>
    </row>
    <row r="41">
      <c r="A41" s="53"/>
      <c r="B41" s="54"/>
      <c r="C41" s="54"/>
      <c r="D41" s="35">
        <v>0.0</v>
      </c>
      <c r="E41" s="35">
        <v>0.0</v>
      </c>
      <c r="F41" s="37"/>
      <c r="G41" s="32"/>
      <c r="H41" s="33"/>
      <c r="I41" s="32"/>
    </row>
    <row r="42">
      <c r="A42" s="53"/>
      <c r="B42" s="54"/>
      <c r="C42" s="54"/>
      <c r="D42" s="35">
        <v>0.0</v>
      </c>
      <c r="E42" s="35">
        <v>0.0</v>
      </c>
      <c r="F42" s="37"/>
      <c r="G42" s="32"/>
      <c r="H42" s="33"/>
      <c r="I42" s="32"/>
    </row>
    <row r="43">
      <c r="A43" s="53"/>
      <c r="B43" s="54"/>
      <c r="C43" s="54"/>
      <c r="D43" s="35">
        <v>0.0</v>
      </c>
      <c r="E43" s="35">
        <v>0.0</v>
      </c>
      <c r="F43" s="37"/>
      <c r="G43" s="32"/>
      <c r="H43" s="33"/>
      <c r="I43" s="32"/>
    </row>
    <row r="44">
      <c r="A44" s="34" t="s">
        <v>26</v>
      </c>
      <c r="B44" s="35">
        <v>5881.0</v>
      </c>
      <c r="C44" s="35">
        <v>7651.0</v>
      </c>
      <c r="D44" s="35">
        <v>4.608989E7</v>
      </c>
      <c r="E44" s="35">
        <v>2.257783E7</v>
      </c>
      <c r="F44" s="37">
        <f t="shared" ref="F44:F52" si="35">B44/$B$44</f>
        <v>1</v>
      </c>
      <c r="G44" s="32">
        <f t="shared" ref="G44:G52" si="36">D44/B44</f>
        <v>7837.083829</v>
      </c>
      <c r="H44" s="33">
        <f t="shared" ref="H44:I44" si="34">C44/B44</f>
        <v>1.300969223</v>
      </c>
      <c r="I44" s="32">
        <f t="shared" si="34"/>
        <v>6024.034767</v>
      </c>
    </row>
    <row r="45">
      <c r="A45" s="34" t="s">
        <v>27</v>
      </c>
      <c r="B45" s="35">
        <v>690.0</v>
      </c>
      <c r="C45" s="35">
        <v>1011.0</v>
      </c>
      <c r="D45" s="35">
        <v>5531845.0</v>
      </c>
      <c r="E45" s="35">
        <v>2540340.0</v>
      </c>
      <c r="F45" s="37">
        <f t="shared" si="35"/>
        <v>0.1173269852</v>
      </c>
      <c r="G45" s="32">
        <f t="shared" si="36"/>
        <v>8017.166667</v>
      </c>
      <c r="H45" s="33">
        <f t="shared" ref="H45:I45" si="37">C45/B45</f>
        <v>1.465217391</v>
      </c>
      <c r="I45" s="32">
        <f t="shared" si="37"/>
        <v>5471.656775</v>
      </c>
    </row>
    <row r="46">
      <c r="A46" s="34" t="s">
        <v>28</v>
      </c>
      <c r="B46" s="35">
        <v>473.0</v>
      </c>
      <c r="C46" s="35">
        <v>675.0</v>
      </c>
      <c r="D46" s="35">
        <v>3571370.0</v>
      </c>
      <c r="E46" s="35">
        <v>1677170.0</v>
      </c>
      <c r="F46" s="37">
        <f t="shared" si="35"/>
        <v>0.08042849855</v>
      </c>
      <c r="G46" s="32">
        <f t="shared" si="36"/>
        <v>7550.465116</v>
      </c>
      <c r="H46" s="33">
        <f t="shared" ref="H46:I46" si="38">C46/B46</f>
        <v>1.427061311</v>
      </c>
      <c r="I46" s="32">
        <f t="shared" si="38"/>
        <v>5290.918519</v>
      </c>
    </row>
    <row r="47">
      <c r="A47" s="34" t="s">
        <v>29</v>
      </c>
      <c r="B47" s="35">
        <v>420.0</v>
      </c>
      <c r="C47" s="35">
        <v>601.0</v>
      </c>
      <c r="D47" s="35">
        <v>2838000.0</v>
      </c>
      <c r="E47" s="35">
        <v>1371040.0</v>
      </c>
      <c r="F47" s="37">
        <f t="shared" si="35"/>
        <v>0.07141642578</v>
      </c>
      <c r="G47" s="32">
        <f t="shared" si="36"/>
        <v>6757.142857</v>
      </c>
      <c r="H47" s="33">
        <f t="shared" ref="H47:I47" si="39">C47/B47</f>
        <v>1.430952381</v>
      </c>
      <c r="I47" s="32">
        <f t="shared" si="39"/>
        <v>4722.129784</v>
      </c>
    </row>
    <row r="48">
      <c r="A48" s="34" t="s">
        <v>30</v>
      </c>
      <c r="B48" s="35">
        <v>999.0</v>
      </c>
      <c r="C48" s="35">
        <v>1660.0</v>
      </c>
      <c r="D48" s="35">
        <v>8927160.0</v>
      </c>
      <c r="E48" s="35">
        <v>4306665.0</v>
      </c>
      <c r="F48" s="37">
        <f t="shared" si="35"/>
        <v>0.1698690699</v>
      </c>
      <c r="G48" s="32">
        <f t="shared" si="36"/>
        <v>8936.096096</v>
      </c>
      <c r="H48" s="33">
        <f t="shared" ref="H48:I48" si="40">C48/B48</f>
        <v>1.661661662</v>
      </c>
      <c r="I48" s="32">
        <f t="shared" si="40"/>
        <v>5377.807229</v>
      </c>
    </row>
    <row r="49">
      <c r="A49" s="34" t="s">
        <v>31</v>
      </c>
      <c r="B49" s="35">
        <v>387.0</v>
      </c>
      <c r="C49" s="35">
        <v>562.0</v>
      </c>
      <c r="D49" s="35">
        <v>3135275.0</v>
      </c>
      <c r="E49" s="35">
        <v>1509805.0</v>
      </c>
      <c r="F49" s="37">
        <f t="shared" si="35"/>
        <v>0.06580513518</v>
      </c>
      <c r="G49" s="32">
        <f t="shared" si="36"/>
        <v>8101.485788</v>
      </c>
      <c r="H49" s="33">
        <f t="shared" ref="H49:I49" si="41">C49/B49</f>
        <v>1.452196382</v>
      </c>
      <c r="I49" s="32">
        <f t="shared" si="41"/>
        <v>5578.781139</v>
      </c>
    </row>
    <row r="50">
      <c r="A50" s="34" t="s">
        <v>32</v>
      </c>
      <c r="B50" s="35">
        <v>343.0</v>
      </c>
      <c r="C50" s="35">
        <v>522.0</v>
      </c>
      <c r="D50" s="35">
        <v>2546775.0</v>
      </c>
      <c r="E50" s="35">
        <v>1241075.0</v>
      </c>
      <c r="F50" s="37">
        <f t="shared" si="35"/>
        <v>0.05832341439</v>
      </c>
      <c r="G50" s="32">
        <f t="shared" si="36"/>
        <v>7425</v>
      </c>
      <c r="H50" s="33">
        <f t="shared" ref="H50:I50" si="42">C50/B50</f>
        <v>1.521865889</v>
      </c>
      <c r="I50" s="32">
        <f t="shared" si="42"/>
        <v>4878.87931</v>
      </c>
    </row>
    <row r="51">
      <c r="A51" s="34" t="s">
        <v>33</v>
      </c>
      <c r="B51" s="35">
        <v>356.0</v>
      </c>
      <c r="C51" s="35">
        <v>518.0</v>
      </c>
      <c r="D51" s="35">
        <v>2251975.0</v>
      </c>
      <c r="E51" s="35">
        <v>1074480.0</v>
      </c>
      <c r="F51" s="37">
        <f t="shared" si="35"/>
        <v>0.0605339228</v>
      </c>
      <c r="G51" s="32">
        <f t="shared" si="36"/>
        <v>6325.772472</v>
      </c>
      <c r="H51" s="33">
        <f t="shared" ref="H51:I51" si="43">C51/B51</f>
        <v>1.45505618</v>
      </c>
      <c r="I51" s="32">
        <f t="shared" si="43"/>
        <v>4347.442085</v>
      </c>
    </row>
    <row r="52">
      <c r="A52" s="38" t="s">
        <v>34</v>
      </c>
      <c r="B52" s="39">
        <v>778.0</v>
      </c>
      <c r="C52" s="39">
        <v>1300.0</v>
      </c>
      <c r="D52" s="39">
        <v>7285410.0</v>
      </c>
      <c r="E52" s="39">
        <v>3469510.0</v>
      </c>
      <c r="F52" s="37">
        <f t="shared" si="35"/>
        <v>0.1322904268</v>
      </c>
      <c r="G52" s="32">
        <f t="shared" si="36"/>
        <v>9364.280206</v>
      </c>
      <c r="H52" s="33">
        <f t="shared" ref="H52:I52" si="44">C52/B52</f>
        <v>1.670951157</v>
      </c>
      <c r="I52" s="32">
        <f t="shared" si="44"/>
        <v>5604.161538</v>
      </c>
    </row>
    <row r="53">
      <c r="A53" s="42"/>
      <c r="B53" s="42"/>
      <c r="C53" s="50">
        <f t="shared" ref="C53:E53" si="45">STDEV(C38:C52)/AVERAGE(C38:C52)</f>
        <v>1.427550599</v>
      </c>
      <c r="D53" s="50">
        <f t="shared" si="45"/>
        <v>2.030915916</v>
      </c>
      <c r="E53" s="50">
        <f t="shared" si="45"/>
        <v>2.056224047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</v>
      </c>
      <c r="B1" s="53"/>
      <c r="C1" s="53"/>
      <c r="D1" s="53"/>
      <c r="E1" s="53"/>
    </row>
    <row r="2">
      <c r="A2" s="53"/>
      <c r="B2" s="56">
        <v>2021.0</v>
      </c>
      <c r="C2" s="56">
        <v>2022.0</v>
      </c>
      <c r="D2" s="56">
        <v>2023.0</v>
      </c>
      <c r="E2" s="56">
        <v>2024.0</v>
      </c>
    </row>
    <row r="3">
      <c r="A3" s="34" t="s">
        <v>38</v>
      </c>
      <c r="B3" s="35">
        <v>7.5539904E7</v>
      </c>
      <c r="C3" s="35">
        <v>6.171330550000001E7</v>
      </c>
      <c r="D3" s="35">
        <v>5.75353625E7</v>
      </c>
      <c r="E3" s="35">
        <v>5.54779225E7</v>
      </c>
    </row>
    <row r="4">
      <c r="A4" s="34">
        <v>2021.0</v>
      </c>
      <c r="B4" s="35">
        <v>1.3186955649999999E8</v>
      </c>
      <c r="C4" s="35">
        <v>5.2597105E7</v>
      </c>
      <c r="D4" s="35">
        <v>4.5025838E7</v>
      </c>
      <c r="E4" s="35">
        <v>4.1006845E7</v>
      </c>
    </row>
    <row r="5">
      <c r="A5" s="34">
        <v>2022.0</v>
      </c>
      <c r="B5" s="35">
        <v>0.0</v>
      </c>
      <c r="C5" s="35">
        <v>1.061519525E8</v>
      </c>
      <c r="D5" s="35">
        <v>4.0414088E7</v>
      </c>
      <c r="E5" s="35">
        <v>3.1974173E7</v>
      </c>
    </row>
    <row r="6">
      <c r="A6" s="34">
        <v>2023.0</v>
      </c>
      <c r="B6" s="35">
        <v>0.0</v>
      </c>
      <c r="C6" s="35">
        <v>0.0</v>
      </c>
      <c r="D6" s="35">
        <v>1.2317463399999999E8</v>
      </c>
      <c r="E6" s="35">
        <v>4.4414436E7</v>
      </c>
    </row>
    <row r="7">
      <c r="A7" s="34">
        <v>2024.0</v>
      </c>
      <c r="B7" s="35">
        <v>0.0</v>
      </c>
      <c r="C7" s="35">
        <v>0.0</v>
      </c>
      <c r="D7" s="35">
        <v>0.0</v>
      </c>
      <c r="E7" s="35">
        <v>1.527273275E8</v>
      </c>
    </row>
    <row r="8">
      <c r="A8" s="53"/>
      <c r="B8" s="53"/>
      <c r="C8" s="53"/>
      <c r="D8" s="53"/>
      <c r="E8" s="53"/>
    </row>
    <row r="9">
      <c r="A9" s="55" t="s">
        <v>4</v>
      </c>
      <c r="B9" s="53"/>
      <c r="C9" s="53"/>
      <c r="D9" s="53"/>
      <c r="E9" s="53"/>
    </row>
    <row r="10">
      <c r="A10" s="53"/>
      <c r="B10" s="56">
        <v>2021.0</v>
      </c>
      <c r="C10" s="56">
        <v>2022.0</v>
      </c>
      <c r="D10" s="56">
        <v>2023.0</v>
      </c>
      <c r="E10" s="56">
        <v>2024.0</v>
      </c>
    </row>
    <row r="11">
      <c r="A11" s="34" t="s">
        <v>38</v>
      </c>
      <c r="B11" s="35">
        <v>3.74877415E7</v>
      </c>
      <c r="C11" s="35">
        <v>3.0335338E7</v>
      </c>
      <c r="D11" s="35">
        <v>2.74854745E7</v>
      </c>
      <c r="E11" s="35">
        <v>2.6831497E7</v>
      </c>
    </row>
    <row r="12">
      <c r="A12" s="34">
        <v>2021.0</v>
      </c>
      <c r="B12" s="35">
        <v>6.6061534E7</v>
      </c>
      <c r="C12" s="35">
        <v>2.5603149E7</v>
      </c>
      <c r="D12" s="35">
        <v>2.12661185E7</v>
      </c>
      <c r="E12" s="35">
        <v>1.9554051E7</v>
      </c>
    </row>
    <row r="13">
      <c r="A13" s="34">
        <v>2022.0</v>
      </c>
      <c r="B13" s="35">
        <v>0.0</v>
      </c>
      <c r="C13" s="35">
        <v>5.19678335E7</v>
      </c>
      <c r="D13" s="35">
        <v>1.9015788E7</v>
      </c>
      <c r="E13" s="35">
        <v>1.52587985E7</v>
      </c>
    </row>
    <row r="14">
      <c r="A14" s="34">
        <v>2023.0</v>
      </c>
      <c r="B14" s="35">
        <v>0.0</v>
      </c>
      <c r="C14" s="35">
        <v>0.0</v>
      </c>
      <c r="D14" s="35">
        <v>5.9071749E7</v>
      </c>
      <c r="E14" s="35">
        <v>2.09702955E7</v>
      </c>
    </row>
    <row r="15">
      <c r="A15" s="34">
        <v>2024.0</v>
      </c>
      <c r="B15" s="35">
        <v>0.0</v>
      </c>
      <c r="C15" s="35">
        <v>0.0</v>
      </c>
      <c r="D15" s="35">
        <v>0.0</v>
      </c>
      <c r="E15" s="35">
        <v>7.3401526E7</v>
      </c>
    </row>
    <row r="16">
      <c r="A16" s="53"/>
      <c r="B16" s="53"/>
      <c r="C16" s="53"/>
      <c r="D16" s="53"/>
      <c r="E16" s="53"/>
    </row>
    <row r="17">
      <c r="A17" s="55" t="s">
        <v>1</v>
      </c>
      <c r="B17" s="53"/>
      <c r="C17" s="53"/>
      <c r="D17" s="53"/>
      <c r="E17" s="53"/>
    </row>
    <row r="18">
      <c r="A18" s="53"/>
      <c r="B18" s="56">
        <v>2021.0</v>
      </c>
      <c r="C18" s="56">
        <v>2022.0</v>
      </c>
      <c r="D18" s="56">
        <v>2023.0</v>
      </c>
      <c r="E18" s="56">
        <v>2024.0</v>
      </c>
    </row>
    <row r="19">
      <c r="A19" s="34" t="s">
        <v>38</v>
      </c>
      <c r="B19" s="35">
        <v>5751.0</v>
      </c>
      <c r="C19" s="35">
        <v>4636.0</v>
      </c>
      <c r="D19" s="35">
        <v>4233.0</v>
      </c>
      <c r="E19" s="35">
        <v>3921.0</v>
      </c>
    </row>
    <row r="20">
      <c r="A20" s="34">
        <v>2021.0</v>
      </c>
      <c r="B20" s="35">
        <v>14915.0</v>
      </c>
      <c r="C20" s="35">
        <v>4107.0</v>
      </c>
      <c r="D20" s="35">
        <v>3491.0</v>
      </c>
      <c r="E20" s="35">
        <v>3075.0</v>
      </c>
    </row>
    <row r="21">
      <c r="A21" s="34">
        <v>2022.0</v>
      </c>
      <c r="B21" s="54"/>
      <c r="C21" s="35">
        <v>12720.0</v>
      </c>
      <c r="D21" s="35">
        <v>3389.0</v>
      </c>
      <c r="E21" s="35">
        <v>2686.0</v>
      </c>
    </row>
    <row r="22">
      <c r="A22" s="34">
        <v>2023.0</v>
      </c>
      <c r="B22" s="54"/>
      <c r="C22" s="54"/>
      <c r="D22" s="35">
        <v>15166.0</v>
      </c>
      <c r="E22" s="35">
        <v>3799.0</v>
      </c>
    </row>
    <row r="23">
      <c r="A23" s="34">
        <v>2024.0</v>
      </c>
      <c r="B23" s="54"/>
      <c r="C23" s="54"/>
      <c r="D23" s="54"/>
      <c r="E23" s="35">
        <v>18316.0</v>
      </c>
    </row>
    <row r="24">
      <c r="A24" s="53"/>
      <c r="B24" s="53"/>
      <c r="C24" s="53"/>
      <c r="D24" s="53"/>
      <c r="E24" s="53"/>
    </row>
    <row r="25">
      <c r="A25" s="55" t="s">
        <v>2</v>
      </c>
      <c r="B25" s="53"/>
      <c r="C25" s="53"/>
      <c r="D25" s="53"/>
      <c r="E25" s="53"/>
    </row>
    <row r="26">
      <c r="A26" s="53"/>
      <c r="B26" s="56">
        <v>2021.0</v>
      </c>
      <c r="C26" s="56">
        <v>2022.0</v>
      </c>
      <c r="D26" s="56">
        <v>2023.0</v>
      </c>
      <c r="E26" s="56">
        <v>2024.0</v>
      </c>
    </row>
    <row r="27">
      <c r="A27" s="34" t="s">
        <v>38</v>
      </c>
      <c r="B27" s="35">
        <v>13739.0</v>
      </c>
      <c r="C27" s="35">
        <v>11475.0</v>
      </c>
      <c r="D27" s="35">
        <v>11331.0</v>
      </c>
      <c r="E27" s="35">
        <v>10581.0</v>
      </c>
    </row>
    <row r="28">
      <c r="A28" s="34">
        <v>2021.0</v>
      </c>
      <c r="B28" s="35">
        <v>22911.0</v>
      </c>
      <c r="C28" s="35">
        <v>10035.0</v>
      </c>
      <c r="D28" s="35">
        <v>9346.0</v>
      </c>
      <c r="E28" s="35">
        <v>8197.0</v>
      </c>
    </row>
    <row r="29">
      <c r="A29" s="34">
        <v>2022.0</v>
      </c>
      <c r="B29" s="54"/>
      <c r="C29" s="35">
        <v>18640.0</v>
      </c>
      <c r="D29" s="35">
        <v>7992.0</v>
      </c>
      <c r="E29" s="35">
        <v>6336.0</v>
      </c>
    </row>
    <row r="30">
      <c r="A30" s="34">
        <v>2023.0</v>
      </c>
      <c r="B30" s="54"/>
      <c r="C30" s="54"/>
      <c r="D30" s="35">
        <v>22735.0</v>
      </c>
      <c r="E30" s="35">
        <v>9002.0</v>
      </c>
    </row>
    <row r="31">
      <c r="A31" s="34">
        <v>2024.0</v>
      </c>
      <c r="B31" s="54"/>
      <c r="C31" s="54"/>
      <c r="D31" s="54"/>
      <c r="E31" s="35">
        <v>27144.0</v>
      </c>
    </row>
  </sheetData>
  <drawing r:id="rId1"/>
</worksheet>
</file>